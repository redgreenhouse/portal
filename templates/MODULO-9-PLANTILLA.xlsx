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FC92708C-AA04-4219-BC06-DBEA673505A5}" xr6:coauthVersionLast="47" xr6:coauthVersionMax="47" xr10:uidLastSave="{00000000-0000-0000-0000-000000000000}"/>
  <bookViews>
    <workbookView xWindow="-28920" yWindow="-120" windowWidth="29040" windowHeight="15720" activeTab="1" xr2:uid="{156363E6-FE79-4AF4-933C-D4048BA9635F}"/>
  </bookViews>
  <sheets>
    <sheet name="PORTADA" sheetId="6" r:id="rId1"/>
    <sheet name="9.0" sheetId="1" r:id="rId2"/>
    <sheet name="9.1" sheetId="2" r:id="rId3"/>
    <sheet name="9.2" sheetId="3" r:id="rId4"/>
  </sheets>
  <externalReferences>
    <externalReference r:id="rId5"/>
    <externalReference r:id="rId6"/>
  </externalReferences>
  <definedNames>
    <definedName name="_xlnm._FilterDatabase" localSheetId="1" hidden="1">'9.0'!$A$10:$DT$41</definedName>
    <definedName name="codigoregistro" localSheetId="0">#REF!</definedName>
    <definedName name="codigoregistro">#REF!</definedName>
    <definedName name="entrada" localSheetId="0">#REF!</definedName>
    <definedName name="entrada">#REF!</definedName>
    <definedName name="listadomateriales" localSheetId="0">#REF!</definedName>
    <definedName name="listadomateriales">#REF!</definedName>
    <definedName name="_xlnm.Print_Area" localSheetId="1">'9.0'!$A$1:$CY$45</definedName>
    <definedName name="_xlnm.Print_Area" localSheetId="2">'9.1'!$A$1:$CQ$40</definedName>
    <definedName name="_xlnm.Print_Area" localSheetId="3">'9.2'!$A$1:$AK$146</definedName>
    <definedName name="salida" localSheetId="0">#REF!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6" i="3" l="1"/>
  <c r="AC102" i="3"/>
  <c r="I5" i="3"/>
  <c r="AC1" i="3"/>
  <c r="AC52" i="3"/>
  <c r="I56" i="3"/>
  <c r="CP2" i="1"/>
  <c r="BJ4" i="1"/>
  <c r="CP4" i="1"/>
  <c r="CP5" i="1"/>
  <c r="BJ6" i="1"/>
  <c r="CP6" i="1"/>
  <c r="AR6" i="2" l="1"/>
  <c r="AO6" i="2"/>
  <c r="CI6" i="2" s="1"/>
  <c r="I6" i="2"/>
  <c r="BE6" i="2" s="1"/>
  <c r="AR5" i="2"/>
  <c r="AO5" i="2"/>
  <c r="CI5" i="2" s="1"/>
  <c r="BE4" i="2"/>
  <c r="AR4" i="2"/>
  <c r="AO4" i="2"/>
  <c r="CI4" i="2" s="1"/>
  <c r="I4" i="2"/>
  <c r="AO2" i="2"/>
  <c r="CI2" i="2" s="1"/>
  <c r="BC35" i="1"/>
  <c r="BC29" i="1"/>
  <c r="BC23" i="1"/>
  <c r="BC17" i="1"/>
  <c r="BC11" i="1"/>
  <c r="AS6" i="1"/>
  <c r="I6" i="1"/>
  <c r="AS5" i="1"/>
  <c r="AS4" i="1"/>
  <c r="I4" i="1"/>
  <c r="AS2" i="1"/>
</calcChain>
</file>

<file path=xl/sharedStrings.xml><?xml version="1.0" encoding="utf-8"?>
<sst xmlns="http://schemas.openxmlformats.org/spreadsheetml/2006/main" count="205" uniqueCount="118">
  <si>
    <t>N°</t>
  </si>
  <si>
    <t>FASE</t>
  </si>
  <si>
    <t>DESCRIPCIÓN</t>
  </si>
  <si>
    <t>PELIGRO SIGNIFICATIVO</t>
  </si>
  <si>
    <t>PROBABILIDAD</t>
  </si>
  <si>
    <t>SEVERIDAD</t>
  </si>
  <si>
    <t>JUSTIFICACIÓN</t>
  </si>
  <si>
    <t>MEDIDAS DE CONTROL</t>
  </si>
  <si>
    <t>MÉTODO</t>
  </si>
  <si>
    <t>INDICADOR</t>
  </si>
  <si>
    <t>CRITERIO</t>
  </si>
  <si>
    <t>DOCUMENTACIÓN GENERADA</t>
  </si>
  <si>
    <t>ALTO</t>
  </si>
  <si>
    <t>MEDIO</t>
  </si>
  <si>
    <t>BAJO</t>
  </si>
  <si>
    <t>Ubicación de la Unidad de Producción</t>
  </si>
  <si>
    <t>Historial del Terreno e Historial Productivo</t>
  </si>
  <si>
    <t>Colindancias de la Unidad de Producción</t>
  </si>
  <si>
    <t>Topografía del terreno y Tipo de Suelo</t>
  </si>
  <si>
    <t>Características Generales del Cultivo</t>
  </si>
  <si>
    <t>INSTRUCCIÓN</t>
  </si>
  <si>
    <t>Coloca la información que se solicita en cada uno de los recuadros y relaciona las ACTIVIDADES DE PRODUCCIÓN según corresponda en el CALENDARIO. Complementa con tus OBSERVACIONES al reverso del presente formato.</t>
  </si>
  <si>
    <t>AÑO</t>
  </si>
  <si>
    <t>CULTIVO</t>
  </si>
  <si>
    <t>VARIEDAD</t>
  </si>
  <si>
    <t>SUPERFICIE EN HAS.</t>
  </si>
  <si>
    <t>DENSIDAD DE PRODUCCIÓN</t>
  </si>
  <si>
    <t>CÓDIGO DE PRODUCCIÓN</t>
  </si>
  <si>
    <t>U.P.</t>
  </si>
  <si>
    <t>SECCIÓN</t>
  </si>
  <si>
    <t>PROYECCIÓN</t>
  </si>
  <si>
    <t>JITOMATE</t>
  </si>
  <si>
    <t>MES / DÍA</t>
  </si>
  <si>
    <t>ACTIVIDADES DE PRODUCCIÓN</t>
  </si>
  <si>
    <t>COSECHA</t>
  </si>
  <si>
    <t>ENERO</t>
  </si>
  <si>
    <t>A</t>
  </si>
  <si>
    <t>CAJETES</t>
  </si>
  <si>
    <t>FEBRERO</t>
  </si>
  <si>
    <t>B</t>
  </si>
  <si>
    <t>ABONAR</t>
  </si>
  <si>
    <t>MARZO</t>
  </si>
  <si>
    <t>C</t>
  </si>
  <si>
    <t>RIEGO</t>
  </si>
  <si>
    <t>ABRIL</t>
  </si>
  <si>
    <t>D</t>
  </si>
  <si>
    <t>FUMIGAR</t>
  </si>
  <si>
    <t>MAYO</t>
  </si>
  <si>
    <t>E</t>
  </si>
  <si>
    <t>PODAR</t>
  </si>
  <si>
    <t>JUNIO</t>
  </si>
  <si>
    <t>F</t>
  </si>
  <si>
    <t>JULIO</t>
  </si>
  <si>
    <t>G</t>
  </si>
  <si>
    <t>LIMPIEZA</t>
  </si>
  <si>
    <t>ENCALAR</t>
  </si>
  <si>
    <t>AGOSTO</t>
  </si>
  <si>
    <t>H</t>
  </si>
  <si>
    <t>MONITOREO</t>
  </si>
  <si>
    <t>FERTILIZAR</t>
  </si>
  <si>
    <t>SEPTIEMBRE</t>
  </si>
  <si>
    <t>I</t>
  </si>
  <si>
    <t>OCTUBRE</t>
  </si>
  <si>
    <t>J</t>
  </si>
  <si>
    <t>NOVIEMBRE</t>
  </si>
  <si>
    <t>DICIEMBRE</t>
  </si>
  <si>
    <t>RESPONSABLE</t>
  </si>
  <si>
    <t>FIRMA:</t>
  </si>
  <si>
    <t>Nombre Científico</t>
  </si>
  <si>
    <t>Variedad</t>
  </si>
  <si>
    <t>Descripción de la Especie</t>
  </si>
  <si>
    <t>Descripción del Cultivo</t>
  </si>
  <si>
    <t>Principales Alteraciones y Enfermedades que afectan al Producto</t>
  </si>
  <si>
    <t>Productos Químicos Utilizados</t>
  </si>
  <si>
    <t>Características Fisicoquímicas del Producto</t>
  </si>
  <si>
    <t>Características Microbiológicas del Producto</t>
  </si>
  <si>
    <t>Características Organolépticas del Producto</t>
  </si>
  <si>
    <t>Parámetros de Recolección y/o Comercialización</t>
  </si>
  <si>
    <t>Destinos</t>
  </si>
  <si>
    <t>Uso Previsto</t>
  </si>
  <si>
    <t>Límites Legales</t>
  </si>
  <si>
    <t>Observaciones</t>
  </si>
  <si>
    <t>EMISIÓN</t>
  </si>
  <si>
    <t>VIGENCIA</t>
  </si>
  <si>
    <t>VERSIÓN</t>
  </si>
  <si>
    <t>ETAPA</t>
  </si>
  <si>
    <t>Se recibe la materia prima en cajas plásticas negras de 6 Kgs. (XX lbs) con 60 manojos de 100 gr. Aproximadamente y cubierta de una hoja de polipapel.</t>
  </si>
  <si>
    <t>FOLIO SENASICA</t>
  </si>
  <si>
    <t xml:space="preserve">EMISIÓN:  </t>
  </si>
  <si>
    <t xml:space="preserve">VERSIÓN: </t>
  </si>
  <si>
    <t xml:space="preserve">VIGENCIA: </t>
  </si>
  <si>
    <t>MODULO</t>
  </si>
  <si>
    <t>SRRC</t>
  </si>
  <si>
    <t>DOC 9</t>
  </si>
  <si>
    <t>HISTORIAL DE LA UNIDAD PRODUCTIVA</t>
  </si>
  <si>
    <t>Anota tus OBSERVACIONES conforme a la siguiente secuencia: (Por ejemplo: 10/04/2025 - 14:00 hrs. - Siniestro - Caida de granizo sin daño severo en la huerta XXX )</t>
  </si>
  <si>
    <t>Fecha (dd/mm/aa/):</t>
  </si>
  <si>
    <t>Observación:</t>
  </si>
  <si>
    <t>Hora:</t>
  </si>
  <si>
    <t>Quién realizó la Observación:</t>
  </si>
  <si>
    <t>Firma:</t>
  </si>
  <si>
    <t>DESCRIPCION DEL PRODUCTO</t>
  </si>
  <si>
    <t>DIAGRAMA DE FLUJO</t>
  </si>
  <si>
    <t>Preparación de Suelo</t>
  </si>
  <si>
    <t>Rascar Cepas 80cm x  80 cm</t>
  </si>
  <si>
    <t>Transplante</t>
  </si>
  <si>
    <t>Nutrición</t>
  </si>
  <si>
    <t>Riego</t>
  </si>
  <si>
    <t>Control Fitosanitario (Foliar)</t>
  </si>
  <si>
    <t>Injerto</t>
  </si>
  <si>
    <t>Desarrollo Vegetativo</t>
  </si>
  <si>
    <t>Encalado</t>
  </si>
  <si>
    <t>Floración</t>
  </si>
  <si>
    <t>Cuaje de Fruto</t>
  </si>
  <si>
    <t>Control Fitosanitario  (Foliar)</t>
  </si>
  <si>
    <t>Llenado de Fruto</t>
  </si>
  <si>
    <t>Cosecha</t>
  </si>
  <si>
    <t>Podas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</si>
</sst>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</font>
    <font>
      <b/>
      <sz val="14"/>
      <color theme="1"/>
      <name val="Montserrat"/>
    </font>
    <font>
      <sz val="10"/>
      <color theme="1"/>
      <name val="Montserrat"/>
    </font>
    <font>
      <b/>
      <sz val="8"/>
      <color theme="1"/>
      <name val="Montserrat"/>
    </font>
    <font>
      <sz val="14"/>
      <color theme="1"/>
      <name val="Montserrat"/>
    </font>
    <font>
      <b/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b/>
      <sz val="11"/>
      <color theme="1"/>
      <name val="Montserrat"/>
    </font>
    <font>
      <b/>
      <sz val="9"/>
      <color theme="1"/>
      <name val="Montserrat"/>
    </font>
    <font>
      <sz val="20"/>
      <color theme="1"/>
      <name val="Montserrat"/>
    </font>
    <font>
      <b/>
      <sz val="2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3">
    <border>
      <left/>
      <right/>
      <top/>
      <bottom/>
      <diagonal/>
    </border>
    <border>
      <left style="medium">
        <color rgb="FF008080"/>
      </left>
      <right/>
      <top style="medium">
        <color rgb="FF008080"/>
      </top>
      <bottom/>
      <diagonal/>
    </border>
    <border>
      <left/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/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medium">
        <color rgb="FF008080"/>
      </right>
      <top style="medium">
        <color rgb="FF008080"/>
      </top>
      <bottom style="thin">
        <color rgb="FF008080"/>
      </bottom>
      <diagonal/>
    </border>
    <border>
      <left style="medium">
        <color rgb="FF008080"/>
      </left>
      <right/>
      <top/>
      <bottom/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/>
      <right/>
      <top/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medium">
        <color rgb="FF008080"/>
      </left>
      <right/>
      <top/>
      <bottom style="medium">
        <color rgb="FF008080"/>
      </bottom>
      <diagonal/>
    </border>
    <border>
      <left/>
      <right/>
      <top/>
      <bottom style="medium">
        <color rgb="FF008080"/>
      </bottom>
      <diagonal/>
    </border>
    <border>
      <left/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/>
      <top/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 style="medium">
        <color rgb="FF008080"/>
      </top>
      <bottom/>
      <diagonal/>
    </border>
    <border>
      <left style="double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/>
      <top style="medium">
        <color rgb="FF008080"/>
      </top>
      <bottom/>
      <diagonal/>
    </border>
    <border>
      <left/>
      <right style="double">
        <color rgb="FF008080"/>
      </right>
      <top style="medium">
        <color rgb="FF008080"/>
      </top>
      <bottom/>
      <diagonal/>
    </border>
    <border>
      <left style="thin">
        <color rgb="FF008080"/>
      </left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/>
      <diagonal/>
    </border>
    <border>
      <left style="medium">
        <color rgb="FF008080"/>
      </left>
      <right style="double">
        <color rgb="FF008080"/>
      </right>
      <top/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/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/>
      <bottom/>
      <diagonal/>
    </border>
    <border>
      <left/>
      <right/>
      <top style="thin">
        <color rgb="FF008080"/>
      </top>
      <bottom/>
      <diagonal/>
    </border>
    <border>
      <left style="double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double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medium">
        <color rgb="FF008080"/>
      </right>
      <top/>
      <bottom style="thin">
        <color rgb="FF008080"/>
      </bottom>
      <diagonal/>
    </border>
    <border>
      <left style="double">
        <color rgb="FF008080"/>
      </left>
      <right/>
      <top/>
      <bottom/>
      <diagonal/>
    </border>
    <border>
      <left/>
      <right style="double">
        <color rgb="FF008080"/>
      </right>
      <top/>
      <bottom/>
      <diagonal/>
    </border>
    <border>
      <left style="medium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 style="double">
        <color rgb="FF008080"/>
      </right>
      <top/>
      <bottom style="medium">
        <color rgb="FF008080"/>
      </bottom>
      <diagonal/>
    </border>
    <border>
      <left style="double">
        <color rgb="FF008080"/>
      </left>
      <right/>
      <top style="thin">
        <color rgb="FF008080"/>
      </top>
      <bottom style="medium">
        <color rgb="FF008080"/>
      </bottom>
      <diagonal/>
    </border>
    <border>
      <left/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/>
      <top style="thin">
        <color rgb="FF008080"/>
      </top>
      <bottom style="medium">
        <color rgb="FF008080"/>
      </bottom>
      <diagonal/>
    </border>
    <border>
      <left/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medium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/>
      <top/>
      <bottom style="medium">
        <color rgb="FF008080"/>
      </bottom>
      <diagonal/>
    </border>
    <border>
      <left/>
      <right style="double">
        <color rgb="FF008080"/>
      </right>
      <top/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/>
      <bottom/>
      <diagonal/>
    </border>
    <border>
      <left/>
      <right style="medium">
        <color rgb="FF008080"/>
      </right>
      <top style="medium">
        <color rgb="FF008080"/>
      </top>
      <bottom/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thin">
        <color rgb="FF008080"/>
      </bottom>
      <diagonal/>
    </border>
    <border>
      <left/>
      <right style="medium">
        <color rgb="FF008080"/>
      </right>
      <top/>
      <bottom/>
      <diagonal/>
    </border>
    <border>
      <left style="double">
        <color rgb="FF008080"/>
      </left>
      <right style="double">
        <color rgb="FF008080"/>
      </right>
      <top style="thin">
        <color rgb="FF008080"/>
      </top>
      <bottom/>
      <diagonal/>
    </border>
    <border>
      <left style="double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/>
      <bottom style="thin">
        <color rgb="FF008080"/>
      </bottom>
      <diagonal/>
    </border>
    <border>
      <left style="medium">
        <color rgb="FF008080"/>
      </left>
      <right style="double">
        <color rgb="FF008080"/>
      </right>
      <top/>
      <bottom style="medium">
        <color rgb="FF008080"/>
      </bottom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/>
      <right style="medium">
        <color rgb="FF008080"/>
      </right>
      <top/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 style="medium">
        <color rgb="FF008080"/>
      </top>
      <bottom/>
      <diagonal/>
    </border>
    <border>
      <left style="double">
        <color rgb="FF008080"/>
      </left>
      <right/>
      <top style="thin">
        <color rgb="FF008080"/>
      </top>
      <bottom/>
      <diagonal/>
    </border>
    <border>
      <left/>
      <right style="double">
        <color rgb="FF008080"/>
      </right>
      <top style="thin">
        <color rgb="FF008080"/>
      </top>
      <bottom/>
      <diagonal/>
    </border>
    <border>
      <left style="double">
        <color rgb="FF008080"/>
      </left>
      <right/>
      <top/>
      <bottom style="thin">
        <color rgb="FF008080"/>
      </bottom>
      <diagonal/>
    </border>
    <border>
      <left/>
      <right style="double">
        <color rgb="FF008080"/>
      </right>
      <top/>
      <bottom style="thin">
        <color rgb="FF008080"/>
      </bottom>
      <diagonal/>
    </border>
    <border>
      <left/>
      <right style="thin">
        <color theme="8" tint="0.79998168889431442"/>
      </right>
      <top/>
      <bottom/>
      <diagonal/>
    </border>
    <border>
      <left style="thin">
        <color theme="8" tint="0.79998168889431442"/>
      </left>
      <right style="thin">
        <color theme="8" tint="0.79998168889431442"/>
      </right>
      <top/>
      <bottom/>
      <diagonal/>
    </border>
    <border>
      <left style="thin">
        <color theme="8" tint="0.7999816888943144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808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8080"/>
      </right>
      <top/>
      <bottom style="thin">
        <color indexed="64"/>
      </bottom>
      <diagonal/>
    </border>
    <border>
      <left style="thin">
        <color indexed="64"/>
      </left>
      <right style="thin">
        <color rgb="FF008080"/>
      </right>
      <top style="thin">
        <color indexed="64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indexed="64"/>
      </top>
      <bottom style="thin">
        <color rgb="FF008080"/>
      </bottom>
      <diagonal/>
    </border>
    <border>
      <left style="thin">
        <color rgb="FF008080"/>
      </left>
      <right style="thin">
        <color indexed="64"/>
      </right>
      <top style="thin">
        <color indexed="64"/>
      </top>
      <bottom style="thin">
        <color rgb="FF008080"/>
      </bottom>
      <diagonal/>
    </border>
    <border>
      <left style="thin">
        <color indexed="64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indexed="64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7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justify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2" fillId="0" borderId="51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textRotation="90" wrapText="1"/>
    </xf>
    <xf numFmtId="0" fontId="22" fillId="0" borderId="59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textRotation="90" wrapText="1"/>
    </xf>
    <xf numFmtId="0" fontId="1" fillId="0" borderId="28" xfId="0" applyFont="1" applyBorder="1" applyAlignment="1">
      <alignment horizontal="center" vertical="center" textRotation="90" wrapText="1"/>
    </xf>
    <xf numFmtId="0" fontId="22" fillId="0" borderId="7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  <xf numFmtId="0" fontId="22" fillId="0" borderId="18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textRotation="90" wrapText="1"/>
    </xf>
    <xf numFmtId="0" fontId="1" fillId="0" borderId="50" xfId="0" applyFont="1" applyBorder="1" applyAlignment="1">
      <alignment horizontal="center" vertical="center" textRotation="90" wrapText="1"/>
    </xf>
    <xf numFmtId="0" fontId="22" fillId="0" borderId="6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textRotation="90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22" fillId="3" borderId="63" xfId="0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textRotation="90" wrapText="1"/>
    </xf>
    <xf numFmtId="0" fontId="22" fillId="3" borderId="51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textRotation="90" wrapText="1"/>
    </xf>
    <xf numFmtId="0" fontId="22" fillId="3" borderId="59" xfId="0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 textRotation="90" wrapText="1"/>
    </xf>
    <xf numFmtId="0" fontId="22" fillId="3" borderId="1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textRotation="90" wrapText="1"/>
    </xf>
    <xf numFmtId="0" fontId="1" fillId="3" borderId="28" xfId="0" applyFont="1" applyFill="1" applyBorder="1" applyAlignment="1">
      <alignment horizontal="center" vertical="center" textRotation="90" wrapText="1"/>
    </xf>
    <xf numFmtId="0" fontId="22" fillId="3" borderId="7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 textRotation="90" wrapText="1"/>
    </xf>
    <xf numFmtId="0" fontId="1" fillId="3" borderId="39" xfId="0" applyFont="1" applyFill="1" applyBorder="1" applyAlignment="1">
      <alignment horizontal="center" vertical="center" textRotation="90" wrapText="1"/>
    </xf>
    <xf numFmtId="0" fontId="22" fillId="3" borderId="18" xfId="0" applyFont="1" applyFill="1" applyBorder="1" applyAlignment="1">
      <alignment horizontal="center" vertical="center"/>
    </xf>
    <xf numFmtId="0" fontId="22" fillId="3" borderId="50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 textRotation="90" wrapText="1"/>
    </xf>
    <xf numFmtId="0" fontId="1" fillId="3" borderId="50" xfId="0" applyFont="1" applyFill="1" applyBorder="1" applyAlignment="1">
      <alignment horizontal="center" vertical="center" textRotation="90" wrapText="1"/>
    </xf>
    <xf numFmtId="0" fontId="1" fillId="3" borderId="71" xfId="0" applyFont="1" applyFill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3" borderId="71" xfId="0" applyFont="1" applyFill="1" applyBorder="1" applyAlignment="1">
      <alignment horizontal="center" vertical="center" wrapText="1"/>
    </xf>
    <xf numFmtId="0" fontId="1" fillId="3" borderId="71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textRotation="90" wrapText="1"/>
    </xf>
    <xf numFmtId="0" fontId="1" fillId="3" borderId="71" xfId="0" applyFont="1" applyFill="1" applyBorder="1" applyAlignment="1">
      <alignment horizontal="center" vertical="center" textRotation="90" wrapText="1"/>
    </xf>
    <xf numFmtId="0" fontId="1" fillId="0" borderId="79" xfId="0" applyFont="1" applyBorder="1" applyAlignment="1">
      <alignment horizontal="center" vertical="center" textRotation="90" wrapText="1"/>
    </xf>
    <xf numFmtId="0" fontId="13" fillId="0" borderId="7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textRotation="90"/>
    </xf>
    <xf numFmtId="0" fontId="30" fillId="2" borderId="71" xfId="0" applyFont="1" applyFill="1" applyBorder="1" applyAlignment="1">
      <alignment horizontal="center" vertical="center"/>
    </xf>
    <xf numFmtId="0" fontId="3" fillId="0" borderId="71" xfId="0" applyFont="1" applyBorder="1" applyAlignment="1">
      <alignment horizontal="justify" vertical="center" wrapText="1"/>
    </xf>
    <xf numFmtId="0" fontId="30" fillId="3" borderId="71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3" fillId="0" borderId="92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left" vertical="center" wrapText="1"/>
    </xf>
    <xf numFmtId="0" fontId="30" fillId="3" borderId="71" xfId="0" applyFont="1" applyFill="1" applyBorder="1" applyAlignment="1">
      <alignment horizontal="center" vertical="center" wrapText="1"/>
    </xf>
    <xf numFmtId="0" fontId="30" fillId="3" borderId="71" xfId="0" applyFont="1" applyFill="1" applyBorder="1" applyAlignment="1">
      <alignment horizontal="center" wrapText="1"/>
    </xf>
    <xf numFmtId="0" fontId="25" fillId="0" borderId="71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 wrapText="1"/>
    </xf>
    <xf numFmtId="0" fontId="27" fillId="3" borderId="71" xfId="0" applyFont="1" applyFill="1" applyBorder="1" applyAlignment="1">
      <alignment horizontal="center" vertical="center" wrapText="1"/>
    </xf>
    <xf numFmtId="0" fontId="29" fillId="3" borderId="71" xfId="0" applyFont="1" applyFill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/>
    </xf>
    <xf numFmtId="0" fontId="3" fillId="0" borderId="74" xfId="0" applyFont="1" applyBorder="1" applyAlignment="1">
      <alignment vertical="center"/>
    </xf>
    <xf numFmtId="0" fontId="5" fillId="0" borderId="72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top"/>
    </xf>
    <xf numFmtId="0" fontId="5" fillId="0" borderId="71" xfId="0" applyFont="1" applyFill="1" applyBorder="1" applyAlignment="1">
      <alignment horizontal="center" vertical="top"/>
    </xf>
    <xf numFmtId="0" fontId="5" fillId="0" borderId="74" xfId="0" applyFont="1" applyFill="1" applyBorder="1" applyAlignment="1">
      <alignment horizontal="center" vertical="top"/>
    </xf>
    <xf numFmtId="0" fontId="5" fillId="0" borderId="80" xfId="0" applyFont="1" applyFill="1" applyBorder="1" applyAlignment="1">
      <alignment horizontal="center" vertical="top"/>
    </xf>
    <xf numFmtId="0" fontId="5" fillId="0" borderId="76" xfId="0" applyFont="1" applyFill="1" applyBorder="1" applyAlignment="1">
      <alignment horizontal="center" vertical="top"/>
    </xf>
    <xf numFmtId="0" fontId="5" fillId="0" borderId="80" xfId="0" applyFont="1" applyFill="1" applyBorder="1" applyAlignment="1">
      <alignment vertical="top"/>
    </xf>
    <xf numFmtId="0" fontId="5" fillId="0" borderId="72" xfId="0" applyFont="1" applyFill="1" applyBorder="1" applyAlignment="1">
      <alignment vertical="top"/>
    </xf>
    <xf numFmtId="0" fontId="5" fillId="0" borderId="72" xfId="0" applyFont="1" applyFill="1" applyBorder="1" applyAlignment="1">
      <alignment horizontal="left" vertical="top"/>
    </xf>
    <xf numFmtId="0" fontId="5" fillId="0" borderId="76" xfId="0" applyFont="1" applyFill="1" applyBorder="1" applyAlignment="1">
      <alignment horizontal="left" vertical="top"/>
    </xf>
    <xf numFmtId="0" fontId="5" fillId="0" borderId="74" xfId="0" applyFont="1" applyFill="1" applyBorder="1" applyAlignment="1">
      <alignment horizontal="left" vertical="top"/>
    </xf>
    <xf numFmtId="0" fontId="5" fillId="0" borderId="92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2" fillId="0" borderId="80" xfId="0" applyFont="1" applyBorder="1" applyAlignment="1">
      <alignment vertical="center"/>
    </xf>
    <xf numFmtId="0" fontId="32" fillId="0" borderId="72" xfId="0" applyFont="1" applyBorder="1" applyAlignment="1">
      <alignment vertical="center"/>
    </xf>
    <xf numFmtId="0" fontId="32" fillId="0" borderId="73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2" fillId="0" borderId="76" xfId="0" applyFont="1" applyBorder="1" applyAlignment="1">
      <alignment vertical="center"/>
    </xf>
    <xf numFmtId="0" fontId="30" fillId="0" borderId="71" xfId="0" applyFont="1" applyBorder="1" applyAlignment="1">
      <alignment horizontal="left" vertical="center"/>
    </xf>
    <xf numFmtId="0" fontId="30" fillId="0" borderId="71" xfId="0" applyFont="1" applyBorder="1" applyAlignment="1">
      <alignment horizontal="left" vertical="center" wrapText="1"/>
    </xf>
    <xf numFmtId="0" fontId="30" fillId="3" borderId="71" xfId="0" applyFont="1" applyFill="1" applyBorder="1" applyAlignment="1">
      <alignment horizontal="left" vertical="center" wrapText="1"/>
    </xf>
    <xf numFmtId="0" fontId="33" fillId="3" borderId="71" xfId="0" applyFont="1" applyFill="1" applyBorder="1" applyAlignment="1">
      <alignment horizontal="left" vertical="center" wrapText="1"/>
    </xf>
    <xf numFmtId="0" fontId="30" fillId="3" borderId="71" xfId="0" applyFont="1" applyFill="1" applyBorder="1" applyAlignment="1">
      <alignment horizontal="left" vertical="center"/>
    </xf>
    <xf numFmtId="0" fontId="30" fillId="0" borderId="76" xfId="0" applyFont="1" applyBorder="1" applyAlignment="1">
      <alignment vertical="center" wrapText="1"/>
    </xf>
    <xf numFmtId="0" fontId="30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91" xfId="0" applyFont="1" applyBorder="1" applyAlignment="1">
      <alignment vertical="center" wrapText="1"/>
    </xf>
    <xf numFmtId="0" fontId="33" fillId="0" borderId="76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3" fillId="0" borderId="92" xfId="0" applyFont="1" applyBorder="1" applyAlignment="1">
      <alignment vertical="center"/>
    </xf>
    <xf numFmtId="0" fontId="33" fillId="0" borderId="74" xfId="0" applyFont="1" applyBorder="1" applyAlignment="1">
      <alignment vertical="center"/>
    </xf>
    <xf numFmtId="0" fontId="35" fillId="3" borderId="71" xfId="0" applyFont="1" applyFill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2" fillId="3" borderId="71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2" fillId="3" borderId="68" xfId="0" applyFont="1" applyFill="1" applyBorder="1" applyAlignment="1">
      <alignment horizontal="center" vertical="center"/>
    </xf>
    <xf numFmtId="0" fontId="32" fillId="3" borderId="69" xfId="0" applyFont="1" applyFill="1" applyBorder="1" applyAlignment="1">
      <alignment horizontal="center" vertical="center"/>
    </xf>
    <xf numFmtId="0" fontId="32" fillId="3" borderId="69" xfId="0" applyFont="1" applyFill="1" applyBorder="1" applyAlignment="1">
      <alignment horizontal="center" vertical="center" wrapText="1"/>
    </xf>
    <xf numFmtId="0" fontId="32" fillId="3" borderId="70" xfId="0" applyFont="1" applyFill="1" applyBorder="1" applyAlignment="1">
      <alignment horizontal="center" vertical="center" wrapText="1"/>
    </xf>
    <xf numFmtId="0" fontId="32" fillId="0" borderId="91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32" fillId="3" borderId="0" xfId="0" applyFont="1" applyFill="1" applyBorder="1" applyAlignment="1">
      <alignment horizontal="center" vertical="center" wrapText="1"/>
    </xf>
    <xf numFmtId="0" fontId="4" fillId="0" borderId="91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33" fillId="0" borderId="75" xfId="0" applyFont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8" fillId="0" borderId="71" xfId="0" applyFont="1" applyFill="1" applyBorder="1" applyAlignment="1">
      <alignment horizontal="center" vertical="center"/>
    </xf>
    <xf numFmtId="0" fontId="14" fillId="0" borderId="71" xfId="0" applyFont="1" applyFill="1" applyBorder="1" applyAlignment="1">
      <alignment horizontal="center" vertical="center"/>
    </xf>
    <xf numFmtId="0" fontId="14" fillId="0" borderId="78" xfId="0" applyFont="1" applyFill="1" applyBorder="1" applyAlignment="1">
      <alignment horizontal="center" vertical="center"/>
    </xf>
    <xf numFmtId="0" fontId="21" fillId="0" borderId="7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13" fillId="0" borderId="71" xfId="0" applyFont="1" applyFill="1" applyBorder="1" applyAlignment="1">
      <alignment horizontal="center" vertical="center"/>
    </xf>
    <xf numFmtId="14" fontId="21" fillId="0" borderId="71" xfId="0" applyNumberFormat="1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49" fontId="21" fillId="0" borderId="71" xfId="0" applyNumberFormat="1" applyFont="1" applyFill="1" applyBorder="1" applyAlignment="1">
      <alignment horizontal="center" vertical="center"/>
    </xf>
    <xf numFmtId="0" fontId="4" fillId="0" borderId="71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0" fontId="3" fillId="0" borderId="71" xfId="0" applyFont="1" applyFill="1" applyBorder="1" applyAlignment="1">
      <alignment horizontal="justify" vertical="center"/>
    </xf>
    <xf numFmtId="0" fontId="3" fillId="0" borderId="7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73" xfId="0" applyFont="1" applyFill="1" applyBorder="1" applyAlignment="1">
      <alignment vertical="center"/>
    </xf>
    <xf numFmtId="0" fontId="7" fillId="0" borderId="91" xfId="0" applyFont="1" applyFill="1" applyBorder="1" applyAlignment="1">
      <alignment vertical="center"/>
    </xf>
    <xf numFmtId="0" fontId="7" fillId="0" borderId="75" xfId="0" applyFont="1" applyFill="1" applyBorder="1" applyAlignment="1">
      <alignment vertical="center"/>
    </xf>
    <xf numFmtId="0" fontId="24" fillId="0" borderId="71" xfId="1" applyFont="1" applyFill="1" applyBorder="1" applyAlignment="1" applyProtection="1">
      <alignment horizontal="center" vertical="center"/>
    </xf>
    <xf numFmtId="0" fontId="25" fillId="0" borderId="71" xfId="0" applyFont="1" applyFill="1" applyBorder="1" applyAlignment="1">
      <alignment horizontal="center" vertical="center"/>
    </xf>
    <xf numFmtId="0" fontId="26" fillId="0" borderId="79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6" fillId="0" borderId="78" xfId="0" applyFont="1" applyFill="1" applyBorder="1" applyAlignment="1">
      <alignment horizontal="center" vertical="center"/>
    </xf>
    <xf numFmtId="0" fontId="26" fillId="0" borderId="81" xfId="0" applyFont="1" applyFill="1" applyBorder="1" applyAlignment="1">
      <alignment horizontal="center" vertical="center"/>
    </xf>
    <xf numFmtId="0" fontId="26" fillId="0" borderId="82" xfId="0" applyFont="1" applyFill="1" applyBorder="1" applyAlignment="1">
      <alignment horizontal="center" vertical="center"/>
    </xf>
    <xf numFmtId="0" fontId="28" fillId="0" borderId="71" xfId="0" applyFont="1" applyFill="1" applyBorder="1" applyAlignment="1">
      <alignment horizontal="center" vertical="center"/>
    </xf>
    <xf numFmtId="0" fontId="28" fillId="0" borderId="78" xfId="0" applyFont="1" applyFill="1" applyBorder="1" applyAlignment="1">
      <alignment horizontal="center" vertical="center"/>
    </xf>
    <xf numFmtId="0" fontId="29" fillId="0" borderId="7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5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71" xfId="0" applyFont="1" applyFill="1" applyBorder="1" applyAlignment="1">
      <alignment horizontal="center" vertical="center"/>
    </xf>
    <xf numFmtId="14" fontId="29" fillId="0" borderId="71" xfId="0" applyNumberFormat="1" applyFont="1" applyFill="1" applyBorder="1" applyAlignment="1">
      <alignment horizontal="center" vertical="center"/>
    </xf>
    <xf numFmtId="49" fontId="27" fillId="0" borderId="0" xfId="0" applyNumberFormat="1" applyFont="1" applyFill="1" applyAlignment="1">
      <alignment horizontal="center" vertical="center"/>
    </xf>
    <xf numFmtId="14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74" xfId="0" applyFont="1" applyFill="1" applyBorder="1" applyAlignment="1">
      <alignment horizontal="center" vertical="center"/>
    </xf>
    <xf numFmtId="49" fontId="29" fillId="0" borderId="71" xfId="0" applyNumberFormat="1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32" fillId="0" borderId="71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 wrapText="1"/>
    </xf>
    <xf numFmtId="0" fontId="32" fillId="0" borderId="71" xfId="0" applyFont="1" applyFill="1" applyBorder="1" applyAlignment="1">
      <alignment horizontal="center" vertical="center" wrapText="1"/>
    </xf>
    <xf numFmtId="0" fontId="32" fillId="0" borderId="71" xfId="0" applyFont="1" applyFill="1" applyBorder="1" applyAlignment="1">
      <alignment horizontal="center" vertical="center"/>
    </xf>
    <xf numFmtId="0" fontId="33" fillId="0" borderId="71" xfId="0" applyFont="1" applyFill="1" applyBorder="1" applyAlignment="1">
      <alignment horizontal="center" vertical="center" wrapText="1"/>
    </xf>
    <xf numFmtId="0" fontId="5" fillId="0" borderId="79" xfId="0" applyFont="1" applyFill="1" applyBorder="1" applyAlignment="1">
      <alignment horizontal="center" vertical="top"/>
    </xf>
    <xf numFmtId="49" fontId="25" fillId="0" borderId="71" xfId="0" applyNumberFormat="1" applyFont="1" applyFill="1" applyBorder="1" applyAlignment="1">
      <alignment horizontal="center" vertical="center" wrapText="1"/>
    </xf>
    <xf numFmtId="49" fontId="25" fillId="0" borderId="71" xfId="0" applyNumberFormat="1" applyFont="1" applyFill="1" applyBorder="1" applyAlignment="1">
      <alignment horizontal="center" vertical="center"/>
    </xf>
    <xf numFmtId="0" fontId="5" fillId="0" borderId="73" xfId="0" applyFont="1" applyFill="1" applyBorder="1" applyAlignment="1">
      <alignment horizontal="center" vertical="top"/>
    </xf>
    <xf numFmtId="0" fontId="5" fillId="0" borderId="91" xfId="0" applyFont="1" applyFill="1" applyBorder="1" applyAlignment="1">
      <alignment horizontal="center" vertical="top"/>
    </xf>
    <xf numFmtId="0" fontId="5" fillId="0" borderId="75" xfId="0" applyFont="1" applyFill="1" applyBorder="1" applyAlignment="1">
      <alignment horizontal="center" vertical="top"/>
    </xf>
    <xf numFmtId="0" fontId="15" fillId="0" borderId="71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71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84" xfId="0" applyFont="1" applyFill="1" applyBorder="1" applyAlignment="1">
      <alignment horizontal="center" vertical="center"/>
    </xf>
    <xf numFmtId="0" fontId="20" fillId="0" borderId="85" xfId="0" applyFont="1" applyFill="1" applyBorder="1" applyAlignment="1">
      <alignment horizontal="center" vertical="center"/>
    </xf>
    <xf numFmtId="0" fontId="20" fillId="0" borderId="86" xfId="0" applyFont="1" applyFill="1" applyBorder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87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88" xfId="0" applyFont="1" applyFill="1" applyBorder="1" applyAlignment="1">
      <alignment horizontal="center" vertical="center"/>
    </xf>
    <xf numFmtId="14" fontId="16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4" fillId="0" borderId="77" xfId="0" applyFont="1" applyFill="1" applyBorder="1" applyAlignment="1">
      <alignment horizontal="center" vertical="center"/>
    </xf>
    <xf numFmtId="0" fontId="14" fillId="0" borderId="89" xfId="0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74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justify" vertical="center" wrapText="1"/>
    </xf>
    <xf numFmtId="0" fontId="0" fillId="0" borderId="33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justify" vertical="center" wrapText="1"/>
    </xf>
    <xf numFmtId="0" fontId="0" fillId="0" borderId="2" xfId="0" applyFont="1" applyFill="1" applyBorder="1" applyAlignment="1">
      <alignment horizontal="justify" vertical="center" wrapText="1"/>
    </xf>
    <xf numFmtId="0" fontId="0" fillId="0" borderId="52" xfId="0" applyFont="1" applyFill="1" applyBorder="1" applyAlignment="1">
      <alignment horizontal="justify" vertical="center" wrapText="1"/>
    </xf>
    <xf numFmtId="0" fontId="0" fillId="0" borderId="32" xfId="0" applyFont="1" applyFill="1" applyBorder="1" applyAlignment="1">
      <alignment horizontal="left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54" xfId="0" applyFont="1" applyFill="1" applyBorder="1" applyAlignment="1">
      <alignment horizontal="center" vertical="center" wrapText="1"/>
    </xf>
    <xf numFmtId="0" fontId="0" fillId="0" borderId="38" xfId="0" applyFont="1" applyFill="1" applyBorder="1" applyAlignment="1">
      <alignment horizontal="justify" vertical="center" wrapText="1"/>
    </xf>
    <xf numFmtId="0" fontId="0" fillId="0" borderId="0" xfId="0" applyFont="1" applyFill="1" applyAlignment="1">
      <alignment horizontal="justify" vertical="center" wrapText="1"/>
    </xf>
    <xf numFmtId="0" fontId="0" fillId="0" borderId="55" xfId="0" applyFont="1" applyFill="1" applyBorder="1" applyAlignment="1">
      <alignment horizontal="justify" vertical="center" wrapText="1"/>
    </xf>
    <xf numFmtId="0" fontId="0" fillId="0" borderId="56" xfId="0" applyFont="1" applyFill="1" applyBorder="1" applyAlignment="1">
      <alignment horizontal="left" vertical="center" wrapText="1"/>
    </xf>
    <xf numFmtId="0" fontId="0" fillId="0" borderId="57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42" xfId="0" applyFont="1" applyFill="1" applyBorder="1" applyAlignment="1">
      <alignment horizontal="justify" vertical="center" wrapText="1"/>
    </xf>
    <xf numFmtId="0" fontId="0" fillId="0" borderId="42" xfId="0" applyFont="1" applyFill="1" applyBorder="1" applyAlignment="1">
      <alignment horizontal="left"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center" vertical="center" wrapText="1"/>
    </xf>
    <xf numFmtId="0" fontId="0" fillId="0" borderId="61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justify" vertical="center" wrapText="1"/>
    </xf>
    <xf numFmtId="0" fontId="0" fillId="0" borderId="19" xfId="0" applyFont="1" applyFill="1" applyBorder="1" applyAlignment="1">
      <alignment horizontal="justify" vertical="center" wrapText="1"/>
    </xf>
    <xf numFmtId="0" fontId="0" fillId="0" borderId="62" xfId="0" applyFont="1" applyFill="1" applyBorder="1" applyAlignment="1">
      <alignment horizontal="justify" vertical="center" wrapText="1"/>
    </xf>
    <xf numFmtId="0" fontId="0" fillId="0" borderId="24" xfId="0" applyFont="1" applyFill="1" applyBorder="1" applyAlignment="1">
      <alignment horizontal="justify" vertical="center" wrapText="1"/>
    </xf>
    <xf numFmtId="0" fontId="1" fillId="0" borderId="64" xfId="0" applyFont="1" applyFill="1" applyBorder="1" applyAlignment="1">
      <alignment horizontal="left" vertical="center" wrapText="1"/>
    </xf>
    <xf numFmtId="0" fontId="1" fillId="0" borderId="34" xfId="0" applyFont="1" applyFill="1" applyBorder="1" applyAlignment="1">
      <alignment horizontal="left" vertical="center" wrapText="1"/>
    </xf>
    <xf numFmtId="0" fontId="1" fillId="0" borderId="65" xfId="0" applyFont="1" applyFill="1" applyBorder="1" applyAlignment="1">
      <alignment horizontal="left" vertical="center" wrapText="1"/>
    </xf>
    <xf numFmtId="0" fontId="1" fillId="0" borderId="66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67" xfId="0" applyFont="1" applyFill="1" applyBorder="1" applyAlignment="1">
      <alignment horizontal="left" vertical="center" wrapText="1"/>
    </xf>
    <xf numFmtId="0" fontId="0" fillId="0" borderId="64" xfId="0" applyFont="1" applyFill="1" applyBorder="1" applyAlignment="1">
      <alignment horizontal="left" vertical="center" wrapText="1"/>
    </xf>
    <xf numFmtId="0" fontId="0" fillId="0" borderId="34" xfId="0" applyFont="1" applyFill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49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0" fillId="0" borderId="50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justify" vertical="center" wrapText="1"/>
    </xf>
    <xf numFmtId="0" fontId="1" fillId="0" borderId="27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0" fillId="0" borderId="30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justify" vertical="center" wrapText="1"/>
    </xf>
    <xf numFmtId="0" fontId="0" fillId="0" borderId="66" xfId="0" applyFont="1" applyFill="1" applyBorder="1" applyAlignment="1">
      <alignment horizontal="center" vertical="center" wrapText="1"/>
    </xf>
    <xf numFmtId="0" fontId="0" fillId="0" borderId="67" xfId="0" applyFont="1" applyFill="1" applyBorder="1" applyAlignment="1">
      <alignment horizontal="center" vertical="center" wrapText="1"/>
    </xf>
    <xf numFmtId="0" fontId="0" fillId="0" borderId="64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65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center" vertical="center" wrapText="1"/>
    </xf>
    <xf numFmtId="0" fontId="1" fillId="0" borderId="49" xfId="0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50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 wrapText="1"/>
    </xf>
    <xf numFmtId="0" fontId="0" fillId="0" borderId="66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67" xfId="0" applyFont="1" applyFill="1" applyBorder="1" applyAlignment="1">
      <alignment horizontal="left" vertical="center" wrapText="1"/>
    </xf>
    <xf numFmtId="0" fontId="0" fillId="0" borderId="3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55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justify" vertical="center" wrapText="1"/>
    </xf>
    <xf numFmtId="0" fontId="0" fillId="0" borderId="62" xfId="0" applyFont="1" applyFill="1" applyBorder="1" applyAlignment="1">
      <alignment horizontal="center" vertical="center" wrapText="1"/>
    </xf>
    <xf numFmtId="0" fontId="0" fillId="0" borderId="71" xfId="0" applyFont="1" applyFill="1" applyBorder="1" applyAlignment="1">
      <alignment vertical="center" wrapText="1"/>
    </xf>
    <xf numFmtId="0" fontId="6" fillId="0" borderId="71" xfId="0" applyFont="1" applyFill="1" applyBorder="1" applyAlignment="1">
      <alignment horizontal="center" vertical="center" wrapText="1"/>
    </xf>
    <xf numFmtId="0" fontId="0" fillId="0" borderId="71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center" vertical="center" wrapText="1"/>
    </xf>
    <xf numFmtId="0" fontId="23" fillId="0" borderId="71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left" vertical="center" wrapText="1"/>
    </xf>
    <xf numFmtId="0" fontId="13" fillId="0" borderId="71" xfId="0" applyFont="1" applyFill="1" applyBorder="1" applyAlignment="1">
      <alignment vertical="center" wrapText="1"/>
    </xf>
    <xf numFmtId="0" fontId="0" fillId="0" borderId="71" xfId="0" applyFont="1" applyFill="1" applyBorder="1" applyAlignment="1">
      <alignment vertical="center"/>
    </xf>
    <xf numFmtId="0" fontId="13" fillId="0" borderId="7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 wrapText="1"/>
    </xf>
    <xf numFmtId="0" fontId="0" fillId="0" borderId="78" xfId="0" applyFont="1" applyFill="1" applyBorder="1" applyAlignment="1">
      <alignment horizontal="center" vertical="center" wrapText="1"/>
    </xf>
    <xf numFmtId="0" fontId="6" fillId="0" borderId="71" xfId="0" applyFont="1" applyFill="1" applyBorder="1" applyAlignment="1">
      <alignment horizontal="left" vertical="center" wrapText="1"/>
    </xf>
    <xf numFmtId="0" fontId="6" fillId="0" borderId="71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vertical="center" wrapText="1"/>
    </xf>
    <xf numFmtId="0" fontId="6" fillId="0" borderId="79" xfId="0" applyFont="1" applyFill="1" applyBorder="1" applyAlignment="1">
      <alignment horizontal="center" vertical="center" wrapText="1"/>
    </xf>
    <xf numFmtId="0" fontId="0" fillId="0" borderId="79" xfId="0" applyFont="1" applyFill="1" applyBorder="1" applyAlignment="1">
      <alignment horizontal="center" vertical="center" wrapText="1"/>
    </xf>
    <xf numFmtId="0" fontId="0" fillId="0" borderId="80" xfId="0" applyFont="1" applyFill="1" applyBorder="1" applyAlignment="1">
      <alignment horizontal="center" vertical="center" wrapText="1"/>
    </xf>
    <xf numFmtId="0" fontId="23" fillId="0" borderId="79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vertical="center"/>
    </xf>
    <xf numFmtId="0" fontId="6" fillId="0" borderId="78" xfId="0" applyFont="1" applyFill="1" applyBorder="1" applyAlignment="1">
      <alignment horizontal="center" vertical="center" wrapText="1"/>
    </xf>
    <xf numFmtId="0" fontId="6" fillId="0" borderId="81" xfId="0" applyFont="1" applyFill="1" applyBorder="1" applyAlignment="1">
      <alignment horizontal="center" vertical="center" wrapText="1"/>
    </xf>
    <xf numFmtId="0" fontId="6" fillId="0" borderId="82" xfId="0" applyFont="1" applyFill="1" applyBorder="1" applyAlignment="1">
      <alignment horizontal="center" vertical="center" wrapText="1"/>
    </xf>
    <xf numFmtId="0" fontId="0" fillId="0" borderId="74" xfId="0" applyFont="1" applyFill="1" applyBorder="1" applyAlignment="1">
      <alignment horizontal="center" vertical="center" wrapText="1"/>
    </xf>
    <xf numFmtId="0" fontId="0" fillId="0" borderId="83" xfId="0" applyFont="1" applyFill="1" applyBorder="1" applyAlignment="1">
      <alignment horizontal="center" vertical="center" wrapText="1"/>
    </xf>
    <xf numFmtId="0" fontId="0" fillId="0" borderId="71" xfId="0" applyFill="1" applyBorder="1" applyAlignment="1">
      <alignment horizontal="center"/>
    </xf>
    <xf numFmtId="0" fontId="7" fillId="0" borderId="71" xfId="0" applyFont="1" applyFill="1" applyBorder="1" applyAlignment="1">
      <alignment horizontal="center" vertical="center"/>
    </xf>
    <xf numFmtId="0" fontId="7" fillId="0" borderId="72" xfId="0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horizontal="center" vertical="center"/>
    </xf>
    <xf numFmtId="0" fontId="0" fillId="0" borderId="0" xfId="0" applyFill="1"/>
    <xf numFmtId="0" fontId="7" fillId="0" borderId="71" xfId="0" applyFont="1" applyFill="1" applyBorder="1" applyAlignment="1">
      <alignment horizontal="center"/>
    </xf>
    <xf numFmtId="0" fontId="8" fillId="0" borderId="0" xfId="0" applyFont="1" applyFill="1" applyAlignment="1">
      <alignment horizontal="center" wrapText="1"/>
    </xf>
    <xf numFmtId="0" fontId="7" fillId="0" borderId="0" xfId="0" applyFont="1" applyFill="1" applyAlignment="1">
      <alignment vertical="center"/>
    </xf>
    <xf numFmtId="0" fontId="7" fillId="0" borderId="7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14" fontId="7" fillId="0" borderId="71" xfId="0" applyNumberFormat="1" applyFont="1" applyFill="1" applyBorder="1" applyAlignment="1">
      <alignment horizontal="center" vertical="center"/>
    </xf>
    <xf numFmtId="0" fontId="9" fillId="0" borderId="74" xfId="0" applyFont="1" applyFill="1" applyBorder="1"/>
    <xf numFmtId="0" fontId="0" fillId="0" borderId="74" xfId="0" applyFill="1" applyBorder="1"/>
    <xf numFmtId="0" fontId="0" fillId="0" borderId="7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1.1'!A30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41565</xdr:colOff>
      <xdr:row>1</xdr:row>
      <xdr:rowOff>0</xdr:rowOff>
    </xdr:from>
    <xdr:to>
      <xdr:col>0</xdr:col>
      <xdr:colOff>207216</xdr:colOff>
      <xdr:row>5</xdr:row>
      <xdr:rowOff>225706</xdr:rowOff>
    </xdr:to>
    <xdr:sp macro="" textlink="">
      <xdr:nvSpPr>
        <xdr:cNvPr id="2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7F6F4-5009-4185-A79F-4DFBAF460273}"/>
            </a:ext>
          </a:extLst>
        </xdr:cNvPr>
        <xdr:cNvSpPr/>
      </xdr:nvSpPr>
      <xdr:spPr>
        <a:xfrm>
          <a:off x="41565" y="247650"/>
          <a:ext cx="169461" cy="1216306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53</xdr:col>
      <xdr:colOff>41565</xdr:colOff>
      <xdr:row>1</xdr:row>
      <xdr:rowOff>0</xdr:rowOff>
    </xdr:from>
    <xdr:to>
      <xdr:col>53</xdr:col>
      <xdr:colOff>207216</xdr:colOff>
      <xdr:row>5</xdr:row>
      <xdr:rowOff>225706</xdr:rowOff>
    </xdr:to>
    <xdr:sp macro="" textlink="">
      <xdr:nvSpPr>
        <xdr:cNvPr id="3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76E3E-5423-42DE-AF23-9CB640918CBF}"/>
            </a:ext>
          </a:extLst>
        </xdr:cNvPr>
        <xdr:cNvSpPr/>
      </xdr:nvSpPr>
      <xdr:spPr>
        <a:xfrm>
          <a:off x="13167015" y="247650"/>
          <a:ext cx="169461" cy="1216306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41415</xdr:colOff>
      <xdr:row>1</xdr:row>
      <xdr:rowOff>0</xdr:rowOff>
    </xdr:from>
    <xdr:to>
      <xdr:col>0</xdr:col>
      <xdr:colOff>207066</xdr:colOff>
      <xdr:row>6</xdr:row>
      <xdr:rowOff>13069</xdr:rowOff>
    </xdr:to>
    <xdr:sp macro="" textlink="">
      <xdr:nvSpPr>
        <xdr:cNvPr id="2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216D5-49A7-4036-8326-0E4C64896F95}"/>
            </a:ext>
          </a:extLst>
        </xdr:cNvPr>
        <xdr:cNvSpPr/>
      </xdr:nvSpPr>
      <xdr:spPr>
        <a:xfrm>
          <a:off x="41415" y="247650"/>
          <a:ext cx="169461" cy="125512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48</xdr:col>
      <xdr:colOff>41415</xdr:colOff>
      <xdr:row>1</xdr:row>
      <xdr:rowOff>0</xdr:rowOff>
    </xdr:from>
    <xdr:to>
      <xdr:col>48</xdr:col>
      <xdr:colOff>207066</xdr:colOff>
      <xdr:row>6</xdr:row>
      <xdr:rowOff>13069</xdr:rowOff>
    </xdr:to>
    <xdr:sp macro="" textlink="">
      <xdr:nvSpPr>
        <xdr:cNvPr id="3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17916-79A5-4211-8A59-82AA2C9AAD9D}"/>
            </a:ext>
          </a:extLst>
        </xdr:cNvPr>
        <xdr:cNvSpPr/>
      </xdr:nvSpPr>
      <xdr:spPr>
        <a:xfrm>
          <a:off x="12176265" y="247650"/>
          <a:ext cx="169461" cy="125512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20284</xdr:colOff>
      <xdr:row>6</xdr:row>
      <xdr:rowOff>20383</xdr:rowOff>
    </xdr:from>
    <xdr:to>
      <xdr:col>25</xdr:col>
      <xdr:colOff>116709</xdr:colOff>
      <xdr:row>8</xdr:row>
      <xdr:rowOff>163853</xdr:rowOff>
    </xdr:to>
    <xdr:grpSp>
      <xdr:nvGrpSpPr>
        <xdr:cNvPr id="16" name="Grupo 71">
          <a:extLst>
            <a:ext uri="{FF2B5EF4-FFF2-40B4-BE49-F238E27FC236}">
              <a16:creationId xmlns:a16="http://schemas.microsoft.com/office/drawing/2014/main" id="{C0F5E1F6-B6CD-455A-8B70-DACF97A09B7A}"/>
            </a:ext>
          </a:extLst>
        </xdr:cNvPr>
        <xdr:cNvGrpSpPr/>
      </xdr:nvGrpSpPr>
      <xdr:grpSpPr>
        <a:xfrm>
          <a:off x="2749735" y="1507443"/>
          <a:ext cx="3578931" cy="648046"/>
          <a:chOff x="1008792" y="7996772"/>
          <a:chExt cx="6926958" cy="1228739"/>
        </a:xfrm>
      </xdr:grpSpPr>
      <xdr:sp macro="" textlink="">
        <xdr:nvSpPr>
          <xdr:cNvPr id="17" name="Rectángulo: esquinas redondeadas 72">
            <a:extLst>
              <a:ext uri="{FF2B5EF4-FFF2-40B4-BE49-F238E27FC236}">
                <a16:creationId xmlns:a16="http://schemas.microsoft.com/office/drawing/2014/main" id="{900F0259-4BB2-B319-B8D6-944F8F56BBEF}"/>
              </a:ext>
            </a:extLst>
          </xdr:cNvPr>
          <xdr:cNvSpPr/>
        </xdr:nvSpPr>
        <xdr:spPr>
          <a:xfrm>
            <a:off x="1008792" y="7996772"/>
            <a:ext cx="6926958" cy="1228739"/>
          </a:xfrm>
          <a:prstGeom prst="roundRect">
            <a:avLst>
              <a:gd name="adj" fmla="val 50000"/>
            </a:avLst>
          </a:prstGeom>
          <a:gradFill>
            <a:gsLst>
              <a:gs pos="78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</a:gra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455">
              <a:latin typeface="Montserrat" panose="00000500000000000000" pitchFamily="2" charset="0"/>
            </a:endParaRPr>
          </a:p>
        </xdr:txBody>
      </xdr:sp>
      <xdr:sp macro="" textlink="">
        <xdr:nvSpPr>
          <xdr:cNvPr id="18" name="Rectángulo: esquinas redondeadas 73">
            <a:extLst>
              <a:ext uri="{FF2B5EF4-FFF2-40B4-BE49-F238E27FC236}">
                <a16:creationId xmlns:a16="http://schemas.microsoft.com/office/drawing/2014/main" id="{D98DEBBE-6EB3-1D5A-71F0-E35A443F6317}"/>
              </a:ext>
            </a:extLst>
          </xdr:cNvPr>
          <xdr:cNvSpPr/>
        </xdr:nvSpPr>
        <xdr:spPr>
          <a:xfrm>
            <a:off x="1170907" y="8142033"/>
            <a:ext cx="6602732" cy="932450"/>
          </a:xfrm>
          <a:prstGeom prst="roundRect">
            <a:avLst>
              <a:gd name="adj" fmla="val 50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s-MX" sz="1400" b="1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Descripción</a:t>
            </a:r>
            <a:r>
              <a:rPr lang="es-MX" sz="1400" b="1" baseline="0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 del Producto</a:t>
            </a:r>
            <a:endParaRPr lang="es-MX" sz="140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9" name="Forma libre: forma 74">
            <a:extLst>
              <a:ext uri="{FF2B5EF4-FFF2-40B4-BE49-F238E27FC236}">
                <a16:creationId xmlns:a16="http://schemas.microsoft.com/office/drawing/2014/main" id="{537680F0-563A-F45C-5232-30702EE49525}"/>
              </a:ext>
            </a:extLst>
          </xdr:cNvPr>
          <xdr:cNvSpPr/>
        </xdr:nvSpPr>
        <xdr:spPr>
          <a:xfrm rot="10800000">
            <a:off x="1178778" y="8158309"/>
            <a:ext cx="1722973" cy="896411"/>
          </a:xfrm>
          <a:custGeom>
            <a:avLst/>
            <a:gdLst>
              <a:gd name="connsiteX0" fmla="*/ 1309000 w 1790803"/>
              <a:gd name="connsiteY0" fmla="*/ 913965 h 914607"/>
              <a:gd name="connsiteX1" fmla="*/ 1292397 w 1790803"/>
              <a:gd name="connsiteY1" fmla="*/ 911416 h 914607"/>
              <a:gd name="connsiteX2" fmla="*/ 1298577 w 1790803"/>
              <a:gd name="connsiteY2" fmla="*/ 913712 h 914607"/>
              <a:gd name="connsiteX3" fmla="*/ 0 w 1790803"/>
              <a:gd name="connsiteY3" fmla="*/ 913712 h 914607"/>
              <a:gd name="connsiteX4" fmla="*/ 163421 w 1790803"/>
              <a:gd name="connsiteY4" fmla="*/ 856826 h 914607"/>
              <a:gd name="connsiteX5" fmla="*/ 390936 w 1790803"/>
              <a:gd name="connsiteY5" fmla="*/ 760992 h 914607"/>
              <a:gd name="connsiteX6" fmla="*/ 922473 w 1790803"/>
              <a:gd name="connsiteY6" fmla="*/ 257079 h 914607"/>
              <a:gd name="connsiteX7" fmla="*/ 1533723 w 1790803"/>
              <a:gd name="connsiteY7" fmla="*/ 46277 h 914607"/>
              <a:gd name="connsiteX8" fmla="*/ 1744525 w 1790803"/>
              <a:gd name="connsiteY8" fmla="*/ 657527 h 914607"/>
              <a:gd name="connsiteX9" fmla="*/ 1309000 w 1790803"/>
              <a:gd name="connsiteY9" fmla="*/ 913965 h 91460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0803" h="914607">
                <a:moveTo>
                  <a:pt x="1309000" y="913965"/>
                </a:moveTo>
                <a:lnTo>
                  <a:pt x="1292397" y="911416"/>
                </a:lnTo>
                <a:lnTo>
                  <a:pt x="1298577" y="913712"/>
                </a:lnTo>
                <a:lnTo>
                  <a:pt x="0" y="913712"/>
                </a:lnTo>
                <a:lnTo>
                  <a:pt x="163421" y="856826"/>
                </a:lnTo>
                <a:lnTo>
                  <a:pt x="390936" y="760992"/>
                </a:lnTo>
                <a:cubicBezTo>
                  <a:pt x="645182" y="630563"/>
                  <a:pt x="822361" y="462592"/>
                  <a:pt x="922473" y="257079"/>
                </a:cubicBezTo>
                <a:cubicBezTo>
                  <a:pt x="1033054" y="30076"/>
                  <a:pt x="1306719" y="-64303"/>
                  <a:pt x="1533723" y="46277"/>
                </a:cubicBezTo>
                <a:cubicBezTo>
                  <a:pt x="1760727" y="156858"/>
                  <a:pt x="1855106" y="430523"/>
                  <a:pt x="1744525" y="657527"/>
                </a:cubicBezTo>
                <a:cubicBezTo>
                  <a:pt x="1661590" y="827780"/>
                  <a:pt x="1486919" y="923431"/>
                  <a:pt x="1309000" y="913965"/>
                </a:cubicBezTo>
                <a:close/>
              </a:path>
            </a:pathLst>
          </a:custGeom>
          <a:gradFill flip="none" rotWithShape="1">
            <a:gsLst>
              <a:gs pos="19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>
              <a:latin typeface="Montserrat" panose="00000500000000000000" pitchFamily="2" charset="0"/>
            </a:endParaRPr>
          </a:p>
        </xdr:txBody>
      </xdr:sp>
      <xdr:sp macro="" textlink="">
        <xdr:nvSpPr>
          <xdr:cNvPr id="20" name="CuadroTexto 12">
            <a:extLst>
              <a:ext uri="{FF2B5EF4-FFF2-40B4-BE49-F238E27FC236}">
                <a16:creationId xmlns:a16="http://schemas.microsoft.com/office/drawing/2014/main" id="{08FD683B-2377-02AE-5F2F-B5C2C03D5887}"/>
              </a:ext>
            </a:extLst>
          </xdr:cNvPr>
          <xdr:cNvSpPr txBox="1"/>
        </xdr:nvSpPr>
        <xdr:spPr>
          <a:xfrm>
            <a:off x="1322680" y="8161221"/>
            <a:ext cx="1272979" cy="73020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800" b="1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2</a:t>
            </a:r>
            <a:endParaRPr lang="es-MX" sz="60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11</xdr:col>
      <xdr:colOff>25839</xdr:colOff>
      <xdr:row>57</xdr:row>
      <xdr:rowOff>46776</xdr:rowOff>
    </xdr:from>
    <xdr:to>
      <xdr:col>25</xdr:col>
      <xdr:colOff>154130</xdr:colOff>
      <xdr:row>59</xdr:row>
      <xdr:rowOff>179337</xdr:rowOff>
    </xdr:to>
    <xdr:grpSp>
      <xdr:nvGrpSpPr>
        <xdr:cNvPr id="21" name="Grupo 76">
          <a:extLst>
            <a:ext uri="{FF2B5EF4-FFF2-40B4-BE49-F238E27FC236}">
              <a16:creationId xmlns:a16="http://schemas.microsoft.com/office/drawing/2014/main" id="{03A58815-7F9B-4A3D-A46D-06BD54A6F01F}"/>
            </a:ext>
          </a:extLst>
        </xdr:cNvPr>
        <xdr:cNvGrpSpPr/>
      </xdr:nvGrpSpPr>
      <xdr:grpSpPr>
        <a:xfrm>
          <a:off x="2755290" y="14211942"/>
          <a:ext cx="3610797" cy="625707"/>
          <a:chOff x="1008792" y="7996772"/>
          <a:chExt cx="6926958" cy="1228739"/>
        </a:xfrm>
      </xdr:grpSpPr>
      <xdr:sp macro="" textlink="">
        <xdr:nvSpPr>
          <xdr:cNvPr id="22" name="Rectángulo: esquinas redondeadas 77">
            <a:extLst>
              <a:ext uri="{FF2B5EF4-FFF2-40B4-BE49-F238E27FC236}">
                <a16:creationId xmlns:a16="http://schemas.microsoft.com/office/drawing/2014/main" id="{9BF97A5A-A498-9516-E063-06CB29B64E34}"/>
              </a:ext>
            </a:extLst>
          </xdr:cNvPr>
          <xdr:cNvSpPr/>
        </xdr:nvSpPr>
        <xdr:spPr>
          <a:xfrm>
            <a:off x="1008792" y="7996772"/>
            <a:ext cx="6926958" cy="1228739"/>
          </a:xfrm>
          <a:prstGeom prst="roundRect">
            <a:avLst>
              <a:gd name="adj" fmla="val 50000"/>
            </a:avLst>
          </a:prstGeom>
          <a:gradFill>
            <a:gsLst>
              <a:gs pos="78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</a:gra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455">
              <a:latin typeface="Montserrat" panose="00000500000000000000" pitchFamily="2" charset="0"/>
            </a:endParaRPr>
          </a:p>
        </xdr:txBody>
      </xdr:sp>
      <xdr:sp macro="" textlink="">
        <xdr:nvSpPr>
          <xdr:cNvPr id="23" name="Rectángulo: esquinas redondeadas 78">
            <a:extLst>
              <a:ext uri="{FF2B5EF4-FFF2-40B4-BE49-F238E27FC236}">
                <a16:creationId xmlns:a16="http://schemas.microsoft.com/office/drawing/2014/main" id="{062A76C8-67CE-3E6C-EA52-36274FA6CC79}"/>
              </a:ext>
            </a:extLst>
          </xdr:cNvPr>
          <xdr:cNvSpPr/>
        </xdr:nvSpPr>
        <xdr:spPr>
          <a:xfrm>
            <a:off x="1170907" y="8142033"/>
            <a:ext cx="6602732" cy="932450"/>
          </a:xfrm>
          <a:prstGeom prst="roundRect">
            <a:avLst>
              <a:gd name="adj" fmla="val 50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350" b="1" baseline="0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JITOMATE</a:t>
            </a:r>
            <a:endParaRPr lang="es-MX" sz="135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24" name="Forma libre: forma 79">
            <a:extLst>
              <a:ext uri="{FF2B5EF4-FFF2-40B4-BE49-F238E27FC236}">
                <a16:creationId xmlns:a16="http://schemas.microsoft.com/office/drawing/2014/main" id="{4D1EC623-6212-1151-6D7D-E33072465C7C}"/>
              </a:ext>
            </a:extLst>
          </xdr:cNvPr>
          <xdr:cNvSpPr/>
        </xdr:nvSpPr>
        <xdr:spPr>
          <a:xfrm rot="10800000">
            <a:off x="1178778" y="8158309"/>
            <a:ext cx="1722973" cy="896411"/>
          </a:xfrm>
          <a:custGeom>
            <a:avLst/>
            <a:gdLst>
              <a:gd name="connsiteX0" fmla="*/ 1309000 w 1790803"/>
              <a:gd name="connsiteY0" fmla="*/ 913965 h 914607"/>
              <a:gd name="connsiteX1" fmla="*/ 1292397 w 1790803"/>
              <a:gd name="connsiteY1" fmla="*/ 911416 h 914607"/>
              <a:gd name="connsiteX2" fmla="*/ 1298577 w 1790803"/>
              <a:gd name="connsiteY2" fmla="*/ 913712 h 914607"/>
              <a:gd name="connsiteX3" fmla="*/ 0 w 1790803"/>
              <a:gd name="connsiteY3" fmla="*/ 913712 h 914607"/>
              <a:gd name="connsiteX4" fmla="*/ 163421 w 1790803"/>
              <a:gd name="connsiteY4" fmla="*/ 856826 h 914607"/>
              <a:gd name="connsiteX5" fmla="*/ 390936 w 1790803"/>
              <a:gd name="connsiteY5" fmla="*/ 760992 h 914607"/>
              <a:gd name="connsiteX6" fmla="*/ 922473 w 1790803"/>
              <a:gd name="connsiteY6" fmla="*/ 257079 h 914607"/>
              <a:gd name="connsiteX7" fmla="*/ 1533723 w 1790803"/>
              <a:gd name="connsiteY7" fmla="*/ 46277 h 914607"/>
              <a:gd name="connsiteX8" fmla="*/ 1744525 w 1790803"/>
              <a:gd name="connsiteY8" fmla="*/ 657527 h 914607"/>
              <a:gd name="connsiteX9" fmla="*/ 1309000 w 1790803"/>
              <a:gd name="connsiteY9" fmla="*/ 913965 h 91460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0803" h="914607">
                <a:moveTo>
                  <a:pt x="1309000" y="913965"/>
                </a:moveTo>
                <a:lnTo>
                  <a:pt x="1292397" y="911416"/>
                </a:lnTo>
                <a:lnTo>
                  <a:pt x="1298577" y="913712"/>
                </a:lnTo>
                <a:lnTo>
                  <a:pt x="0" y="913712"/>
                </a:lnTo>
                <a:lnTo>
                  <a:pt x="163421" y="856826"/>
                </a:lnTo>
                <a:lnTo>
                  <a:pt x="390936" y="760992"/>
                </a:lnTo>
                <a:cubicBezTo>
                  <a:pt x="645182" y="630563"/>
                  <a:pt x="822361" y="462592"/>
                  <a:pt x="922473" y="257079"/>
                </a:cubicBezTo>
                <a:cubicBezTo>
                  <a:pt x="1033054" y="30076"/>
                  <a:pt x="1306719" y="-64303"/>
                  <a:pt x="1533723" y="46277"/>
                </a:cubicBezTo>
                <a:cubicBezTo>
                  <a:pt x="1760727" y="156858"/>
                  <a:pt x="1855106" y="430523"/>
                  <a:pt x="1744525" y="657527"/>
                </a:cubicBezTo>
                <a:cubicBezTo>
                  <a:pt x="1661590" y="827780"/>
                  <a:pt x="1486919" y="923431"/>
                  <a:pt x="1309000" y="913965"/>
                </a:cubicBezTo>
                <a:close/>
              </a:path>
            </a:pathLst>
          </a:custGeom>
          <a:gradFill flip="none" rotWithShape="1">
            <a:gsLst>
              <a:gs pos="19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>
              <a:latin typeface="Montserrat" panose="00000500000000000000" pitchFamily="2" charset="0"/>
            </a:endParaRPr>
          </a:p>
        </xdr:txBody>
      </xdr:sp>
      <xdr:sp macro="" textlink="">
        <xdr:nvSpPr>
          <xdr:cNvPr id="25" name="CuadroTexto 12">
            <a:extLst>
              <a:ext uri="{FF2B5EF4-FFF2-40B4-BE49-F238E27FC236}">
                <a16:creationId xmlns:a16="http://schemas.microsoft.com/office/drawing/2014/main" id="{0AAA879B-5213-7CE8-8BB0-7ADFD50B58FB}"/>
              </a:ext>
            </a:extLst>
          </xdr:cNvPr>
          <xdr:cNvSpPr txBox="1"/>
        </xdr:nvSpPr>
        <xdr:spPr>
          <a:xfrm>
            <a:off x="1322682" y="8161222"/>
            <a:ext cx="732894" cy="73628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800" b="1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3</a:t>
            </a:r>
            <a:endParaRPr lang="es-MX" sz="60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6</xdr:col>
      <xdr:colOff>244711</xdr:colOff>
      <xdr:row>67</xdr:row>
      <xdr:rowOff>0</xdr:rowOff>
    </xdr:from>
    <xdr:to>
      <xdr:col>7</xdr:col>
      <xdr:colOff>0</xdr:colOff>
      <xdr:row>68</xdr:row>
      <xdr:rowOff>0</xdr:rowOff>
    </xdr:to>
    <xdr:cxnSp macro="">
      <xdr:nvCxnSpPr>
        <xdr:cNvPr id="37" name="Conector recto de flecha 26">
          <a:extLst>
            <a:ext uri="{FF2B5EF4-FFF2-40B4-BE49-F238E27FC236}">
              <a16:creationId xmlns:a16="http://schemas.microsoft.com/office/drawing/2014/main" id="{BF1F4E1B-7C79-4F4A-839F-02FDB78B15C5}"/>
            </a:ext>
          </a:extLst>
        </xdr:cNvPr>
        <xdr:cNvCxnSpPr>
          <a:cxnSpLocks/>
        </xdr:cNvCxnSpPr>
      </xdr:nvCxnSpPr>
      <xdr:spPr>
        <a:xfrm>
          <a:off x="1735581" y="16648043"/>
          <a:ext cx="3767" cy="24847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73</xdr:row>
      <xdr:rowOff>0</xdr:rowOff>
    </xdr:from>
    <xdr:to>
      <xdr:col>7</xdr:col>
      <xdr:colOff>43</xdr:colOff>
      <xdr:row>74</xdr:row>
      <xdr:rowOff>41413</xdr:rowOff>
    </xdr:to>
    <xdr:cxnSp macro="">
      <xdr:nvCxnSpPr>
        <xdr:cNvPr id="38" name="Conector recto de flecha 28">
          <a:extLst>
            <a:ext uri="{FF2B5EF4-FFF2-40B4-BE49-F238E27FC236}">
              <a16:creationId xmlns:a16="http://schemas.microsoft.com/office/drawing/2014/main" id="{99EF5983-0542-4D24-A981-4707A5BB92DC}"/>
            </a:ext>
          </a:extLst>
        </xdr:cNvPr>
        <xdr:cNvCxnSpPr>
          <a:cxnSpLocks/>
        </xdr:cNvCxnSpPr>
      </xdr:nvCxnSpPr>
      <xdr:spPr>
        <a:xfrm flipH="1">
          <a:off x="1739348" y="18138913"/>
          <a:ext cx="43" cy="28989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6204</xdr:colOff>
      <xdr:row>76</xdr:row>
      <xdr:rowOff>0</xdr:rowOff>
    </xdr:from>
    <xdr:to>
      <xdr:col>7</xdr:col>
      <xdr:colOff>10353</xdr:colOff>
      <xdr:row>77</xdr:row>
      <xdr:rowOff>20707</xdr:rowOff>
    </xdr:to>
    <xdr:cxnSp macro="">
      <xdr:nvCxnSpPr>
        <xdr:cNvPr id="39" name="Conector recto de flecha 29">
          <a:extLst>
            <a:ext uri="{FF2B5EF4-FFF2-40B4-BE49-F238E27FC236}">
              <a16:creationId xmlns:a16="http://schemas.microsoft.com/office/drawing/2014/main" id="{C5405D55-F306-42AA-B428-0F2571869A24}"/>
            </a:ext>
          </a:extLst>
        </xdr:cNvPr>
        <xdr:cNvCxnSpPr>
          <a:cxnSpLocks/>
        </xdr:cNvCxnSpPr>
      </xdr:nvCxnSpPr>
      <xdr:spPr>
        <a:xfrm>
          <a:off x="1745552" y="18884348"/>
          <a:ext cx="4149" cy="26918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73123</xdr:colOff>
      <xdr:row>65</xdr:row>
      <xdr:rowOff>190972</xdr:rowOff>
    </xdr:from>
    <xdr:to>
      <xdr:col>3</xdr:col>
      <xdr:colOff>184227</xdr:colOff>
      <xdr:row>67</xdr:row>
      <xdr:rowOff>0</xdr:rowOff>
    </xdr:to>
    <xdr:sp macro="" textlink="">
      <xdr:nvSpPr>
        <xdr:cNvPr id="40" name="Diagrama de flujo: proceso alternativo 37">
          <a:extLst>
            <a:ext uri="{FF2B5EF4-FFF2-40B4-BE49-F238E27FC236}">
              <a16:creationId xmlns:a16="http://schemas.microsoft.com/office/drawing/2014/main" id="{3C9F4BEC-9C79-4680-9378-1ADE42E48F5A}"/>
            </a:ext>
          </a:extLst>
        </xdr:cNvPr>
        <xdr:cNvSpPr/>
      </xdr:nvSpPr>
      <xdr:spPr>
        <a:xfrm>
          <a:off x="568423" y="17526472"/>
          <a:ext cx="356849" cy="360938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6</xdr:col>
      <xdr:colOff>238125</xdr:colOff>
      <xdr:row>70</xdr:row>
      <xdr:rowOff>0</xdr:rowOff>
    </xdr:from>
    <xdr:to>
      <xdr:col>7</xdr:col>
      <xdr:colOff>43</xdr:colOff>
      <xdr:row>71</xdr:row>
      <xdr:rowOff>10353</xdr:rowOff>
    </xdr:to>
    <xdr:cxnSp macro="">
      <xdr:nvCxnSpPr>
        <xdr:cNvPr id="41" name="Conector recto de flecha 131">
          <a:extLst>
            <a:ext uri="{FF2B5EF4-FFF2-40B4-BE49-F238E27FC236}">
              <a16:creationId xmlns:a16="http://schemas.microsoft.com/office/drawing/2014/main" id="{5357205A-111D-4F19-B0D0-959A7D195D3A}"/>
            </a:ext>
          </a:extLst>
        </xdr:cNvPr>
        <xdr:cNvCxnSpPr>
          <a:cxnSpLocks/>
        </xdr:cNvCxnSpPr>
      </xdr:nvCxnSpPr>
      <xdr:spPr>
        <a:xfrm flipH="1">
          <a:off x="1728995" y="17393478"/>
          <a:ext cx="10396" cy="25883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155863</xdr:colOff>
      <xdr:row>10</xdr:row>
      <xdr:rowOff>49418</xdr:rowOff>
    </xdr:from>
    <xdr:to>
      <xdr:col>8</xdr:col>
      <xdr:colOff>60266</xdr:colOff>
      <xdr:row>16</xdr:row>
      <xdr:rowOff>186481</xdr:rowOff>
    </xdr:to>
    <xdr:sp macro="" textlink="">
      <xdr:nvSpPr>
        <xdr:cNvPr id="42" name="Rectángulo: esquinas redondeadas 134">
          <a:extLst>
            <a:ext uri="{FF2B5EF4-FFF2-40B4-BE49-F238E27FC236}">
              <a16:creationId xmlns:a16="http://schemas.microsoft.com/office/drawing/2014/main" id="{46631597-6F1E-45C5-B365-DC21545F0C50}"/>
            </a:ext>
          </a:extLst>
        </xdr:cNvPr>
        <xdr:cNvSpPr/>
      </xdr:nvSpPr>
      <xdr:spPr>
        <a:xfrm>
          <a:off x="404341" y="2782679"/>
          <a:ext cx="1643751" cy="1627932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stretch>
            <a:fillRect r="1000"/>
          </a:stretch>
        </a:blipFill>
        <a:ln w="12700">
          <a:solidFill>
            <a:schemeClr val="accent5">
              <a:lumMod val="75000"/>
            </a:schemeClr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73123</xdr:colOff>
      <xdr:row>68</xdr:row>
      <xdr:rowOff>190972</xdr:rowOff>
    </xdr:from>
    <xdr:to>
      <xdr:col>3</xdr:col>
      <xdr:colOff>184227</xdr:colOff>
      <xdr:row>70</xdr:row>
      <xdr:rowOff>0</xdr:rowOff>
    </xdr:to>
    <xdr:sp macro="" textlink="">
      <xdr:nvSpPr>
        <xdr:cNvPr id="44" name="Diagrama de flujo: proceso alternativo 96">
          <a:extLst>
            <a:ext uri="{FF2B5EF4-FFF2-40B4-BE49-F238E27FC236}">
              <a16:creationId xmlns:a16="http://schemas.microsoft.com/office/drawing/2014/main" id="{E51E0242-F155-484F-976E-3336EBEA0FE1}"/>
            </a:ext>
          </a:extLst>
        </xdr:cNvPr>
        <xdr:cNvSpPr/>
      </xdr:nvSpPr>
      <xdr:spPr>
        <a:xfrm>
          <a:off x="568423" y="18517072"/>
          <a:ext cx="356849" cy="360938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</xdr:col>
      <xdr:colOff>73123</xdr:colOff>
      <xdr:row>71</xdr:row>
      <xdr:rowOff>190972</xdr:rowOff>
    </xdr:from>
    <xdr:to>
      <xdr:col>3</xdr:col>
      <xdr:colOff>184227</xdr:colOff>
      <xdr:row>73</xdr:row>
      <xdr:rowOff>0</xdr:rowOff>
    </xdr:to>
    <xdr:sp macro="" textlink="">
      <xdr:nvSpPr>
        <xdr:cNvPr id="46" name="Diagrama de flujo: proceso alternativo 100">
          <a:extLst>
            <a:ext uri="{FF2B5EF4-FFF2-40B4-BE49-F238E27FC236}">
              <a16:creationId xmlns:a16="http://schemas.microsoft.com/office/drawing/2014/main" id="{96488490-9B6C-4387-BA65-9C20834E691F}"/>
            </a:ext>
          </a:extLst>
        </xdr:cNvPr>
        <xdr:cNvSpPr/>
      </xdr:nvSpPr>
      <xdr:spPr>
        <a:xfrm>
          <a:off x="568423" y="19507672"/>
          <a:ext cx="356849" cy="360938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2</xdr:col>
      <xdr:colOff>73123</xdr:colOff>
      <xdr:row>74</xdr:row>
      <xdr:rowOff>190972</xdr:rowOff>
    </xdr:from>
    <xdr:to>
      <xdr:col>3</xdr:col>
      <xdr:colOff>184227</xdr:colOff>
      <xdr:row>76</xdr:row>
      <xdr:rowOff>0</xdr:rowOff>
    </xdr:to>
    <xdr:sp macro="" textlink="">
      <xdr:nvSpPr>
        <xdr:cNvPr id="48" name="Diagrama de flujo: proceso alternativo 111">
          <a:extLst>
            <a:ext uri="{FF2B5EF4-FFF2-40B4-BE49-F238E27FC236}">
              <a16:creationId xmlns:a16="http://schemas.microsoft.com/office/drawing/2014/main" id="{D99FE9C2-470C-4EF2-BF9C-D6081C819EC8}"/>
            </a:ext>
          </a:extLst>
        </xdr:cNvPr>
        <xdr:cNvSpPr/>
      </xdr:nvSpPr>
      <xdr:spPr>
        <a:xfrm>
          <a:off x="568423" y="20498272"/>
          <a:ext cx="356849" cy="360938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2</xdr:col>
      <xdr:colOff>73123</xdr:colOff>
      <xdr:row>77</xdr:row>
      <xdr:rowOff>190972</xdr:rowOff>
    </xdr:from>
    <xdr:to>
      <xdr:col>3</xdr:col>
      <xdr:colOff>184227</xdr:colOff>
      <xdr:row>79</xdr:row>
      <xdr:rowOff>0</xdr:rowOff>
    </xdr:to>
    <xdr:sp macro="" textlink="">
      <xdr:nvSpPr>
        <xdr:cNvPr id="50" name="Diagrama de flujo: proceso alternativo 114">
          <a:extLst>
            <a:ext uri="{FF2B5EF4-FFF2-40B4-BE49-F238E27FC236}">
              <a16:creationId xmlns:a16="http://schemas.microsoft.com/office/drawing/2014/main" id="{69DFC15A-0777-4D51-B9E0-9C4130E6B282}"/>
            </a:ext>
          </a:extLst>
        </xdr:cNvPr>
        <xdr:cNvSpPr/>
      </xdr:nvSpPr>
      <xdr:spPr>
        <a:xfrm>
          <a:off x="568423" y="21488872"/>
          <a:ext cx="356849" cy="360938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5</xdr:col>
      <xdr:colOff>143931</xdr:colOff>
      <xdr:row>62</xdr:row>
      <xdr:rowOff>42330</xdr:rowOff>
    </xdr:from>
    <xdr:to>
      <xdr:col>8</xdr:col>
      <xdr:colOff>100044</xdr:colOff>
      <xdr:row>64</xdr:row>
      <xdr:rowOff>3273</xdr:rowOff>
    </xdr:to>
    <xdr:sp macro="" textlink="">
      <xdr:nvSpPr>
        <xdr:cNvPr id="51" name="Diagrama de flujo: terminador 115">
          <a:extLst>
            <a:ext uri="{FF2B5EF4-FFF2-40B4-BE49-F238E27FC236}">
              <a16:creationId xmlns:a16="http://schemas.microsoft.com/office/drawing/2014/main" id="{BB92A19B-2974-4B8E-8EF3-04D491D7532D}"/>
            </a:ext>
          </a:extLst>
        </xdr:cNvPr>
        <xdr:cNvSpPr/>
      </xdr:nvSpPr>
      <xdr:spPr>
        <a:xfrm>
          <a:off x="1380276" y="16636785"/>
          <a:ext cx="697158" cy="454338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s-MX" sz="900" b="0">
              <a:solidFill>
                <a:sysClr val="windowText" lastClr="000000"/>
              </a:solidFill>
              <a:latin typeface="Montserrat" panose="00000500000000000000" pitchFamily="2" charset="0"/>
              <a:ea typeface="+mn-ea"/>
              <a:cs typeface="+mn-cs"/>
            </a:rPr>
            <a:t>Inicio</a:t>
          </a:r>
        </a:p>
      </xdr:txBody>
    </xdr:sp>
    <xdr:clientData/>
  </xdr:twoCellAnchor>
  <xdr:twoCellAnchor>
    <xdr:from>
      <xdr:col>6</xdr:col>
      <xdr:colOff>243369</xdr:colOff>
      <xdr:row>64</xdr:row>
      <xdr:rowOff>3273</xdr:rowOff>
    </xdr:from>
    <xdr:to>
      <xdr:col>7</xdr:col>
      <xdr:colOff>0</xdr:colOff>
      <xdr:row>65</xdr:row>
      <xdr:rowOff>10353</xdr:rowOff>
    </xdr:to>
    <xdr:cxnSp macro="">
      <xdr:nvCxnSpPr>
        <xdr:cNvPr id="52" name="Conector recto de flecha 119">
          <a:extLst>
            <a:ext uri="{FF2B5EF4-FFF2-40B4-BE49-F238E27FC236}">
              <a16:creationId xmlns:a16="http://schemas.microsoft.com/office/drawing/2014/main" id="{092C667A-326B-4388-B7DD-DBA8EAEBE9CF}"/>
            </a:ext>
          </a:extLst>
        </xdr:cNvPr>
        <xdr:cNvCxnSpPr>
          <a:cxnSpLocks/>
          <a:stCxn id="51" idx="2"/>
        </xdr:cNvCxnSpPr>
      </xdr:nvCxnSpPr>
      <xdr:spPr>
        <a:xfrm>
          <a:off x="1734239" y="15905882"/>
          <a:ext cx="5109" cy="25555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145584</xdr:colOff>
      <xdr:row>97</xdr:row>
      <xdr:rowOff>36683</xdr:rowOff>
    </xdr:from>
    <xdr:to>
      <xdr:col>12</xdr:col>
      <xdr:colOff>186358</xdr:colOff>
      <xdr:row>98</xdr:row>
      <xdr:rowOff>173273</xdr:rowOff>
    </xdr:to>
    <xdr:sp macro="" textlink="">
      <xdr:nvSpPr>
        <xdr:cNvPr id="54" name="Diagrama de flujo: terminador 132">
          <a:extLst>
            <a:ext uri="{FF2B5EF4-FFF2-40B4-BE49-F238E27FC236}">
              <a16:creationId xmlns:a16="http://schemas.microsoft.com/office/drawing/2014/main" id="{406D311E-4B47-4385-9602-B71A51D564CC}"/>
            </a:ext>
          </a:extLst>
        </xdr:cNvPr>
        <xdr:cNvSpPr/>
      </xdr:nvSpPr>
      <xdr:spPr>
        <a:xfrm>
          <a:off x="1884932" y="24139074"/>
          <a:ext cx="1283165" cy="385069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s-MX" sz="900" b="0">
              <a:solidFill>
                <a:sysClr val="windowText" lastClr="000000"/>
              </a:solidFill>
              <a:latin typeface="Montserrat" panose="00000500000000000000" pitchFamily="2" charset="0"/>
              <a:ea typeface="+mn-ea"/>
              <a:cs typeface="+mn-cs"/>
            </a:rPr>
            <a:t>Continue next page</a:t>
          </a:r>
        </a:p>
      </xdr:txBody>
    </xdr:sp>
    <xdr:clientData/>
  </xdr:twoCellAnchor>
  <xdr:twoCellAnchor>
    <xdr:from>
      <xdr:col>0</xdr:col>
      <xdr:colOff>49698</xdr:colOff>
      <xdr:row>1</xdr:row>
      <xdr:rowOff>0</xdr:rowOff>
    </xdr:from>
    <xdr:to>
      <xdr:col>0</xdr:col>
      <xdr:colOff>215349</xdr:colOff>
      <xdr:row>5</xdr:row>
      <xdr:rowOff>0</xdr:rowOff>
    </xdr:to>
    <xdr:sp macro="" textlink="">
      <xdr:nvSpPr>
        <xdr:cNvPr id="55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5184C2-3231-42F3-B2A5-ED66E83694A9}"/>
            </a:ext>
          </a:extLst>
        </xdr:cNvPr>
        <xdr:cNvSpPr/>
      </xdr:nvSpPr>
      <xdr:spPr>
        <a:xfrm>
          <a:off x="53508" y="247650"/>
          <a:ext cx="158031" cy="100747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0</xdr:col>
      <xdr:colOff>41415</xdr:colOff>
      <xdr:row>51</xdr:row>
      <xdr:rowOff>0</xdr:rowOff>
    </xdr:from>
    <xdr:to>
      <xdr:col>0</xdr:col>
      <xdr:colOff>207066</xdr:colOff>
      <xdr:row>56</xdr:row>
      <xdr:rowOff>13068</xdr:rowOff>
    </xdr:to>
    <xdr:sp macro="" textlink="">
      <xdr:nvSpPr>
        <xdr:cNvPr id="56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415131-4697-4AB8-87AB-F00B34B72EB4}"/>
            </a:ext>
          </a:extLst>
        </xdr:cNvPr>
        <xdr:cNvSpPr/>
      </xdr:nvSpPr>
      <xdr:spPr>
        <a:xfrm>
          <a:off x="41415" y="12877800"/>
          <a:ext cx="169461" cy="125512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7</xdr:col>
      <xdr:colOff>2080</xdr:colOff>
      <xdr:row>79</xdr:row>
      <xdr:rowOff>0</xdr:rowOff>
    </xdr:from>
    <xdr:to>
      <xdr:col>7</xdr:col>
      <xdr:colOff>4299</xdr:colOff>
      <xdr:row>80</xdr:row>
      <xdr:rowOff>103982</xdr:rowOff>
    </xdr:to>
    <xdr:cxnSp macro="">
      <xdr:nvCxnSpPr>
        <xdr:cNvPr id="57" name="Conector recto de flecha 29">
          <a:extLst>
            <a:ext uri="{FF2B5EF4-FFF2-40B4-BE49-F238E27FC236}">
              <a16:creationId xmlns:a16="http://schemas.microsoft.com/office/drawing/2014/main" id="{5E0827BB-A6C6-4D81-ACED-97C0C902625E}"/>
            </a:ext>
          </a:extLst>
        </xdr:cNvPr>
        <xdr:cNvCxnSpPr>
          <a:cxnSpLocks/>
        </xdr:cNvCxnSpPr>
      </xdr:nvCxnSpPr>
      <xdr:spPr>
        <a:xfrm flipH="1">
          <a:off x="1741428" y="19878261"/>
          <a:ext cx="4124" cy="35055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6204</xdr:colOff>
      <xdr:row>83</xdr:row>
      <xdr:rowOff>0</xdr:rowOff>
    </xdr:to>
    <xdr:cxnSp macro="">
      <xdr:nvCxnSpPr>
        <xdr:cNvPr id="58" name="Conector recto de flecha 29">
          <a:extLst>
            <a:ext uri="{FF2B5EF4-FFF2-40B4-BE49-F238E27FC236}">
              <a16:creationId xmlns:a16="http://schemas.microsoft.com/office/drawing/2014/main" id="{C5EBF7F2-868D-448E-93B7-621DCBC5197F}"/>
            </a:ext>
          </a:extLst>
        </xdr:cNvPr>
        <xdr:cNvCxnSpPr>
          <a:cxnSpLocks/>
        </xdr:cNvCxnSpPr>
      </xdr:nvCxnSpPr>
      <xdr:spPr>
        <a:xfrm flipH="1">
          <a:off x="1739348" y="20375217"/>
          <a:ext cx="6204" cy="24847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85</xdr:row>
      <xdr:rowOff>0</xdr:rowOff>
    </xdr:from>
    <xdr:to>
      <xdr:col>7</xdr:col>
      <xdr:colOff>8109</xdr:colOff>
      <xdr:row>86</xdr:row>
      <xdr:rowOff>10354</xdr:rowOff>
    </xdr:to>
    <xdr:cxnSp macro="">
      <xdr:nvCxnSpPr>
        <xdr:cNvPr id="59" name="Conector recto de flecha 29">
          <a:extLst>
            <a:ext uri="{FF2B5EF4-FFF2-40B4-BE49-F238E27FC236}">
              <a16:creationId xmlns:a16="http://schemas.microsoft.com/office/drawing/2014/main" id="{2A02CD90-237E-4842-80A9-E0BE4997D730}"/>
            </a:ext>
          </a:extLst>
        </xdr:cNvPr>
        <xdr:cNvCxnSpPr>
          <a:cxnSpLocks/>
        </xdr:cNvCxnSpPr>
      </xdr:nvCxnSpPr>
      <xdr:spPr>
        <a:xfrm flipH="1">
          <a:off x="1739348" y="21120652"/>
          <a:ext cx="8109" cy="25883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8109</xdr:colOff>
      <xdr:row>88</xdr:row>
      <xdr:rowOff>0</xdr:rowOff>
    </xdr:from>
    <xdr:to>
      <xdr:col>7</xdr:col>
      <xdr:colOff>12258</xdr:colOff>
      <xdr:row>88</xdr:row>
      <xdr:rowOff>240030</xdr:rowOff>
    </xdr:to>
    <xdr:cxnSp macro="">
      <xdr:nvCxnSpPr>
        <xdr:cNvPr id="60" name="Conector recto de flecha 29">
          <a:extLst>
            <a:ext uri="{FF2B5EF4-FFF2-40B4-BE49-F238E27FC236}">
              <a16:creationId xmlns:a16="http://schemas.microsoft.com/office/drawing/2014/main" id="{9CF90618-D151-43B9-AC94-EA9DEAF6DF31}"/>
            </a:ext>
          </a:extLst>
        </xdr:cNvPr>
        <xdr:cNvCxnSpPr>
          <a:cxnSpLocks/>
        </xdr:cNvCxnSpPr>
      </xdr:nvCxnSpPr>
      <xdr:spPr>
        <a:xfrm>
          <a:off x="1747457" y="21866087"/>
          <a:ext cx="4149" cy="24003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103985</xdr:colOff>
      <xdr:row>83</xdr:row>
      <xdr:rowOff>121952</xdr:rowOff>
    </xdr:from>
    <xdr:to>
      <xdr:col>3</xdr:col>
      <xdr:colOff>199014</xdr:colOff>
      <xdr:row>84</xdr:row>
      <xdr:rowOff>213931</xdr:rowOff>
    </xdr:to>
    <xdr:sp macro="" textlink="">
      <xdr:nvSpPr>
        <xdr:cNvPr id="61" name="Diagrama de flujo: proceso alternativo 32">
          <a:extLst>
            <a:ext uri="{FF2B5EF4-FFF2-40B4-BE49-F238E27FC236}">
              <a16:creationId xmlns:a16="http://schemas.microsoft.com/office/drawing/2014/main" id="{59811A37-2731-49E8-A490-75F348F9D63F}"/>
            </a:ext>
          </a:extLst>
        </xdr:cNvPr>
        <xdr:cNvSpPr/>
      </xdr:nvSpPr>
      <xdr:spPr>
        <a:xfrm>
          <a:off x="600942" y="20745648"/>
          <a:ext cx="343507" cy="340457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2</xdr:col>
      <xdr:colOff>97646</xdr:colOff>
      <xdr:row>92</xdr:row>
      <xdr:rowOff>155141</xdr:rowOff>
    </xdr:from>
    <xdr:to>
      <xdr:col>3</xdr:col>
      <xdr:colOff>185055</xdr:colOff>
      <xdr:row>93</xdr:row>
      <xdr:rowOff>245214</xdr:rowOff>
    </xdr:to>
    <xdr:sp macro="" textlink="">
      <xdr:nvSpPr>
        <xdr:cNvPr id="62" name="Diagrama de flujo: proceso alternativo 33">
          <a:extLst>
            <a:ext uri="{FF2B5EF4-FFF2-40B4-BE49-F238E27FC236}">
              <a16:creationId xmlns:a16="http://schemas.microsoft.com/office/drawing/2014/main" id="{4C506B13-8A12-4D67-9595-B7D6D04EF44F}"/>
            </a:ext>
          </a:extLst>
        </xdr:cNvPr>
        <xdr:cNvSpPr/>
      </xdr:nvSpPr>
      <xdr:spPr>
        <a:xfrm>
          <a:off x="594603" y="23015141"/>
          <a:ext cx="335887" cy="338551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2</xdr:col>
      <xdr:colOff>108000</xdr:colOff>
      <xdr:row>89</xdr:row>
      <xdr:rowOff>110158</xdr:rowOff>
    </xdr:from>
    <xdr:to>
      <xdr:col>3</xdr:col>
      <xdr:colOff>199219</xdr:colOff>
      <xdr:row>90</xdr:row>
      <xdr:rowOff>215306</xdr:rowOff>
    </xdr:to>
    <xdr:sp macro="" textlink="">
      <xdr:nvSpPr>
        <xdr:cNvPr id="63" name="Diagrama de flujo: proceso alternativo 39">
          <a:extLst>
            <a:ext uri="{FF2B5EF4-FFF2-40B4-BE49-F238E27FC236}">
              <a16:creationId xmlns:a16="http://schemas.microsoft.com/office/drawing/2014/main" id="{447E60C8-4216-471A-9046-B88DFB346D5A}"/>
            </a:ext>
          </a:extLst>
        </xdr:cNvPr>
        <xdr:cNvSpPr/>
      </xdr:nvSpPr>
      <xdr:spPr>
        <a:xfrm>
          <a:off x="604957" y="22224723"/>
          <a:ext cx="339697" cy="353626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2</xdr:col>
      <xdr:colOff>115790</xdr:colOff>
      <xdr:row>86</xdr:row>
      <xdr:rowOff>135365</xdr:rowOff>
    </xdr:from>
    <xdr:to>
      <xdr:col>3</xdr:col>
      <xdr:colOff>207009</xdr:colOff>
      <xdr:row>87</xdr:row>
      <xdr:rowOff>229248</xdr:rowOff>
    </xdr:to>
    <xdr:sp macro="" textlink="">
      <xdr:nvSpPr>
        <xdr:cNvPr id="64" name="Diagrama de flujo: proceso alternativo 40">
          <a:extLst>
            <a:ext uri="{FF2B5EF4-FFF2-40B4-BE49-F238E27FC236}">
              <a16:creationId xmlns:a16="http://schemas.microsoft.com/office/drawing/2014/main" id="{569F5750-5D32-4DE4-936F-22D277BB0F97}"/>
            </a:ext>
          </a:extLst>
        </xdr:cNvPr>
        <xdr:cNvSpPr/>
      </xdr:nvSpPr>
      <xdr:spPr>
        <a:xfrm>
          <a:off x="612747" y="21504495"/>
          <a:ext cx="339697" cy="342362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</xdr:col>
      <xdr:colOff>83672</xdr:colOff>
      <xdr:row>80</xdr:row>
      <xdr:rowOff>113886</xdr:rowOff>
    </xdr:from>
    <xdr:to>
      <xdr:col>3</xdr:col>
      <xdr:colOff>174891</xdr:colOff>
      <xdr:row>81</xdr:row>
      <xdr:rowOff>207605</xdr:rowOff>
    </xdr:to>
    <xdr:sp macro="" textlink="">
      <xdr:nvSpPr>
        <xdr:cNvPr id="65" name="Diagrama de flujo: proceso alternativo 44">
          <a:extLst>
            <a:ext uri="{FF2B5EF4-FFF2-40B4-BE49-F238E27FC236}">
              <a16:creationId xmlns:a16="http://schemas.microsoft.com/office/drawing/2014/main" id="{7D7329FA-830F-4239-9AD1-36F5A3B95637}"/>
            </a:ext>
          </a:extLst>
        </xdr:cNvPr>
        <xdr:cNvSpPr/>
      </xdr:nvSpPr>
      <xdr:spPr>
        <a:xfrm>
          <a:off x="580629" y="19992147"/>
          <a:ext cx="339697" cy="342197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3</xdr:col>
      <xdr:colOff>18976</xdr:colOff>
      <xdr:row>96</xdr:row>
      <xdr:rowOff>212550</xdr:rowOff>
    </xdr:from>
    <xdr:to>
      <xdr:col>7</xdr:col>
      <xdr:colOff>145585</xdr:colOff>
      <xdr:row>97</xdr:row>
      <xdr:rowOff>229217</xdr:rowOff>
    </xdr:to>
    <xdr:cxnSp macro="">
      <xdr:nvCxnSpPr>
        <xdr:cNvPr id="80" name="Connector: Elbow 79">
          <a:extLst>
            <a:ext uri="{FF2B5EF4-FFF2-40B4-BE49-F238E27FC236}">
              <a16:creationId xmlns:a16="http://schemas.microsoft.com/office/drawing/2014/main" id="{7F68A6B0-7C68-7D7D-DAC2-0444D659DC73}"/>
            </a:ext>
          </a:extLst>
        </xdr:cNvPr>
        <xdr:cNvCxnSpPr>
          <a:stCxn id="114" idx="2"/>
          <a:endCxn id="54" idx="1"/>
        </xdr:cNvCxnSpPr>
      </xdr:nvCxnSpPr>
      <xdr:spPr>
        <a:xfrm rot="16200000" flipH="1">
          <a:off x="1192099" y="23638775"/>
          <a:ext cx="265145" cy="11205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22029</xdr:colOff>
      <xdr:row>107</xdr:row>
      <xdr:rowOff>48681</xdr:rowOff>
    </xdr:from>
    <xdr:to>
      <xdr:col>25</xdr:col>
      <xdr:colOff>154130</xdr:colOff>
      <xdr:row>109</xdr:row>
      <xdr:rowOff>177432</xdr:rowOff>
    </xdr:to>
    <xdr:grpSp>
      <xdr:nvGrpSpPr>
        <xdr:cNvPr id="82" name="Grupo 76">
          <a:extLst>
            <a:ext uri="{FF2B5EF4-FFF2-40B4-BE49-F238E27FC236}">
              <a16:creationId xmlns:a16="http://schemas.microsoft.com/office/drawing/2014/main" id="{4CE4E9BA-593E-443E-8D8B-F8209ADDAA6E}"/>
            </a:ext>
          </a:extLst>
        </xdr:cNvPr>
        <xdr:cNvGrpSpPr/>
      </xdr:nvGrpSpPr>
      <xdr:grpSpPr>
        <a:xfrm>
          <a:off x="2751480" y="26637760"/>
          <a:ext cx="3614607" cy="619992"/>
          <a:chOff x="1008792" y="7996772"/>
          <a:chExt cx="6926958" cy="1228739"/>
        </a:xfrm>
      </xdr:grpSpPr>
      <xdr:sp macro="" textlink="">
        <xdr:nvSpPr>
          <xdr:cNvPr id="83" name="Rectángulo: esquinas redondeadas 77">
            <a:extLst>
              <a:ext uri="{FF2B5EF4-FFF2-40B4-BE49-F238E27FC236}">
                <a16:creationId xmlns:a16="http://schemas.microsoft.com/office/drawing/2014/main" id="{C26C05D9-15BF-88E7-5327-D8707C51DA0C}"/>
              </a:ext>
            </a:extLst>
          </xdr:cNvPr>
          <xdr:cNvSpPr/>
        </xdr:nvSpPr>
        <xdr:spPr>
          <a:xfrm>
            <a:off x="1008792" y="7996772"/>
            <a:ext cx="6926958" cy="1228739"/>
          </a:xfrm>
          <a:prstGeom prst="roundRect">
            <a:avLst>
              <a:gd name="adj" fmla="val 50000"/>
            </a:avLst>
          </a:prstGeom>
          <a:gradFill>
            <a:gsLst>
              <a:gs pos="78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</a:gradFill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455">
              <a:latin typeface="Montserrat" panose="00000500000000000000" pitchFamily="2" charset="0"/>
            </a:endParaRPr>
          </a:p>
        </xdr:txBody>
      </xdr:sp>
      <xdr:sp macro="" textlink="">
        <xdr:nvSpPr>
          <xdr:cNvPr id="84" name="Rectángulo: esquinas redondeadas 78">
            <a:extLst>
              <a:ext uri="{FF2B5EF4-FFF2-40B4-BE49-F238E27FC236}">
                <a16:creationId xmlns:a16="http://schemas.microsoft.com/office/drawing/2014/main" id="{910BC213-7E55-6C12-8826-72C045788CF2}"/>
              </a:ext>
            </a:extLst>
          </xdr:cNvPr>
          <xdr:cNvSpPr/>
        </xdr:nvSpPr>
        <xdr:spPr>
          <a:xfrm>
            <a:off x="1170907" y="8142033"/>
            <a:ext cx="6602732" cy="932450"/>
          </a:xfrm>
          <a:prstGeom prst="roundRect">
            <a:avLst>
              <a:gd name="adj" fmla="val 5000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350" b="1" baseline="0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JITOMATE</a:t>
            </a:r>
            <a:endParaRPr lang="es-MX" sz="135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85" name="Forma libre: forma 79">
            <a:extLst>
              <a:ext uri="{FF2B5EF4-FFF2-40B4-BE49-F238E27FC236}">
                <a16:creationId xmlns:a16="http://schemas.microsoft.com/office/drawing/2014/main" id="{E67F03A3-A06D-A241-B075-F81BA4C8B8FC}"/>
              </a:ext>
            </a:extLst>
          </xdr:cNvPr>
          <xdr:cNvSpPr/>
        </xdr:nvSpPr>
        <xdr:spPr>
          <a:xfrm rot="10800000">
            <a:off x="1178778" y="8158309"/>
            <a:ext cx="1722973" cy="896411"/>
          </a:xfrm>
          <a:custGeom>
            <a:avLst/>
            <a:gdLst>
              <a:gd name="connsiteX0" fmla="*/ 1309000 w 1790803"/>
              <a:gd name="connsiteY0" fmla="*/ 913965 h 914607"/>
              <a:gd name="connsiteX1" fmla="*/ 1292397 w 1790803"/>
              <a:gd name="connsiteY1" fmla="*/ 911416 h 914607"/>
              <a:gd name="connsiteX2" fmla="*/ 1298577 w 1790803"/>
              <a:gd name="connsiteY2" fmla="*/ 913712 h 914607"/>
              <a:gd name="connsiteX3" fmla="*/ 0 w 1790803"/>
              <a:gd name="connsiteY3" fmla="*/ 913712 h 914607"/>
              <a:gd name="connsiteX4" fmla="*/ 163421 w 1790803"/>
              <a:gd name="connsiteY4" fmla="*/ 856826 h 914607"/>
              <a:gd name="connsiteX5" fmla="*/ 390936 w 1790803"/>
              <a:gd name="connsiteY5" fmla="*/ 760992 h 914607"/>
              <a:gd name="connsiteX6" fmla="*/ 922473 w 1790803"/>
              <a:gd name="connsiteY6" fmla="*/ 257079 h 914607"/>
              <a:gd name="connsiteX7" fmla="*/ 1533723 w 1790803"/>
              <a:gd name="connsiteY7" fmla="*/ 46277 h 914607"/>
              <a:gd name="connsiteX8" fmla="*/ 1744525 w 1790803"/>
              <a:gd name="connsiteY8" fmla="*/ 657527 h 914607"/>
              <a:gd name="connsiteX9" fmla="*/ 1309000 w 1790803"/>
              <a:gd name="connsiteY9" fmla="*/ 913965 h 91460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1790803" h="914607">
                <a:moveTo>
                  <a:pt x="1309000" y="913965"/>
                </a:moveTo>
                <a:lnTo>
                  <a:pt x="1292397" y="911416"/>
                </a:lnTo>
                <a:lnTo>
                  <a:pt x="1298577" y="913712"/>
                </a:lnTo>
                <a:lnTo>
                  <a:pt x="0" y="913712"/>
                </a:lnTo>
                <a:lnTo>
                  <a:pt x="163421" y="856826"/>
                </a:lnTo>
                <a:lnTo>
                  <a:pt x="390936" y="760992"/>
                </a:lnTo>
                <a:cubicBezTo>
                  <a:pt x="645182" y="630563"/>
                  <a:pt x="822361" y="462592"/>
                  <a:pt x="922473" y="257079"/>
                </a:cubicBezTo>
                <a:cubicBezTo>
                  <a:pt x="1033054" y="30076"/>
                  <a:pt x="1306719" y="-64303"/>
                  <a:pt x="1533723" y="46277"/>
                </a:cubicBezTo>
                <a:cubicBezTo>
                  <a:pt x="1760727" y="156858"/>
                  <a:pt x="1855106" y="430523"/>
                  <a:pt x="1744525" y="657527"/>
                </a:cubicBezTo>
                <a:cubicBezTo>
                  <a:pt x="1661590" y="827780"/>
                  <a:pt x="1486919" y="923431"/>
                  <a:pt x="1309000" y="913965"/>
                </a:cubicBezTo>
                <a:close/>
              </a:path>
            </a:pathLst>
          </a:custGeom>
          <a:gradFill flip="none" rotWithShape="1">
            <a:gsLst>
              <a:gs pos="19000">
                <a:schemeClr val="accent5">
                  <a:lumMod val="20000"/>
                  <a:lumOff val="80000"/>
                </a:schemeClr>
              </a:gs>
              <a:gs pos="100000">
                <a:srgbClr val="006666"/>
              </a:gs>
            </a:gsLst>
            <a:path path="shap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>
              <a:latin typeface="Montserrat" panose="00000500000000000000" pitchFamily="2" charset="0"/>
            </a:endParaRPr>
          </a:p>
        </xdr:txBody>
      </xdr:sp>
      <xdr:sp macro="" textlink="">
        <xdr:nvSpPr>
          <xdr:cNvPr id="86" name="CuadroTexto 12">
            <a:extLst>
              <a:ext uri="{FF2B5EF4-FFF2-40B4-BE49-F238E27FC236}">
                <a16:creationId xmlns:a16="http://schemas.microsoft.com/office/drawing/2014/main" id="{E3DD6CC2-E8D8-2A08-15E8-386B86B53622}"/>
              </a:ext>
            </a:extLst>
          </xdr:cNvPr>
          <xdr:cNvSpPr txBox="1"/>
        </xdr:nvSpPr>
        <xdr:spPr>
          <a:xfrm>
            <a:off x="1322682" y="8161222"/>
            <a:ext cx="732894" cy="73628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800" b="1">
                <a:solidFill>
                  <a:schemeClr val="accent5">
                    <a:lumMod val="50000"/>
                  </a:schemeClr>
                </a:solidFill>
                <a:latin typeface="Montserrat" panose="00000500000000000000" pitchFamily="2" charset="0"/>
              </a:rPr>
              <a:t>3</a:t>
            </a:r>
            <a:endParaRPr lang="es-MX" sz="600" b="1">
              <a:solidFill>
                <a:schemeClr val="accent5">
                  <a:lumMod val="50000"/>
                </a:schemeClr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6</xdr:col>
      <xdr:colOff>244711</xdr:colOff>
      <xdr:row>117</xdr:row>
      <xdr:rowOff>0</xdr:rowOff>
    </xdr:from>
    <xdr:to>
      <xdr:col>7</xdr:col>
      <xdr:colOff>0</xdr:colOff>
      <xdr:row>118</xdr:row>
      <xdr:rowOff>0</xdr:rowOff>
    </xdr:to>
    <xdr:cxnSp macro="">
      <xdr:nvCxnSpPr>
        <xdr:cNvPr id="87" name="Conector recto de flecha 26">
          <a:extLst>
            <a:ext uri="{FF2B5EF4-FFF2-40B4-BE49-F238E27FC236}">
              <a16:creationId xmlns:a16="http://schemas.microsoft.com/office/drawing/2014/main" id="{EC7EA346-9FA7-4B18-AE65-DCEB26A160B5}"/>
            </a:ext>
          </a:extLst>
        </xdr:cNvPr>
        <xdr:cNvCxnSpPr>
          <a:cxnSpLocks/>
        </xdr:cNvCxnSpPr>
      </xdr:nvCxnSpPr>
      <xdr:spPr>
        <a:xfrm>
          <a:off x="1739391" y="16648043"/>
          <a:ext cx="0" cy="24847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43</xdr:colOff>
      <xdr:row>124</xdr:row>
      <xdr:rowOff>41413</xdr:rowOff>
    </xdr:to>
    <xdr:cxnSp macro="">
      <xdr:nvCxnSpPr>
        <xdr:cNvPr id="88" name="Conector recto de flecha 28">
          <a:extLst>
            <a:ext uri="{FF2B5EF4-FFF2-40B4-BE49-F238E27FC236}">
              <a16:creationId xmlns:a16="http://schemas.microsoft.com/office/drawing/2014/main" id="{BA941CAF-B5C5-405F-AAC5-110FCE6419D6}"/>
            </a:ext>
          </a:extLst>
        </xdr:cNvPr>
        <xdr:cNvCxnSpPr>
          <a:cxnSpLocks/>
        </xdr:cNvCxnSpPr>
      </xdr:nvCxnSpPr>
      <xdr:spPr>
        <a:xfrm flipH="1">
          <a:off x="1739348" y="18138913"/>
          <a:ext cx="43" cy="28989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6204</xdr:colOff>
      <xdr:row>126</xdr:row>
      <xdr:rowOff>0</xdr:rowOff>
    </xdr:from>
    <xdr:to>
      <xdr:col>7</xdr:col>
      <xdr:colOff>10353</xdr:colOff>
      <xdr:row>127</xdr:row>
      <xdr:rowOff>20707</xdr:rowOff>
    </xdr:to>
    <xdr:cxnSp macro="">
      <xdr:nvCxnSpPr>
        <xdr:cNvPr id="89" name="Conector recto de flecha 29">
          <a:extLst>
            <a:ext uri="{FF2B5EF4-FFF2-40B4-BE49-F238E27FC236}">
              <a16:creationId xmlns:a16="http://schemas.microsoft.com/office/drawing/2014/main" id="{2EB6FE40-6E0D-4487-8ACB-1A73AA772E32}"/>
            </a:ext>
          </a:extLst>
        </xdr:cNvPr>
        <xdr:cNvCxnSpPr>
          <a:cxnSpLocks/>
        </xdr:cNvCxnSpPr>
      </xdr:nvCxnSpPr>
      <xdr:spPr>
        <a:xfrm>
          <a:off x="1747457" y="18884348"/>
          <a:ext cx="4149" cy="2653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73123</xdr:colOff>
      <xdr:row>115</xdr:row>
      <xdr:rowOff>190972</xdr:rowOff>
    </xdr:from>
    <xdr:to>
      <xdr:col>3</xdr:col>
      <xdr:colOff>184227</xdr:colOff>
      <xdr:row>117</xdr:row>
      <xdr:rowOff>0</xdr:rowOff>
    </xdr:to>
    <xdr:sp macro="" textlink="">
      <xdr:nvSpPr>
        <xdr:cNvPr id="90" name="Diagrama de flujo: proceso alternativo 37">
          <a:extLst>
            <a:ext uri="{FF2B5EF4-FFF2-40B4-BE49-F238E27FC236}">
              <a16:creationId xmlns:a16="http://schemas.microsoft.com/office/drawing/2014/main" id="{114E3399-3E17-4499-BDE0-2BDDEF9CA128}"/>
            </a:ext>
          </a:extLst>
        </xdr:cNvPr>
        <xdr:cNvSpPr/>
      </xdr:nvSpPr>
      <xdr:spPr>
        <a:xfrm>
          <a:off x="570080" y="16342059"/>
          <a:ext cx="357677" cy="305984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6</xdr:col>
      <xdr:colOff>238125</xdr:colOff>
      <xdr:row>120</xdr:row>
      <xdr:rowOff>0</xdr:rowOff>
    </xdr:from>
    <xdr:to>
      <xdr:col>7</xdr:col>
      <xdr:colOff>43</xdr:colOff>
      <xdr:row>121</xdr:row>
      <xdr:rowOff>10353</xdr:rowOff>
    </xdr:to>
    <xdr:cxnSp macro="">
      <xdr:nvCxnSpPr>
        <xdr:cNvPr id="91" name="Conector recto de flecha 131">
          <a:extLst>
            <a:ext uri="{FF2B5EF4-FFF2-40B4-BE49-F238E27FC236}">
              <a16:creationId xmlns:a16="http://schemas.microsoft.com/office/drawing/2014/main" id="{EF781836-3129-4C61-8312-2F652BE7151C}"/>
            </a:ext>
          </a:extLst>
        </xdr:cNvPr>
        <xdr:cNvCxnSpPr>
          <a:cxnSpLocks/>
        </xdr:cNvCxnSpPr>
      </xdr:nvCxnSpPr>
      <xdr:spPr>
        <a:xfrm flipH="1">
          <a:off x="1730900" y="17393478"/>
          <a:ext cx="8491" cy="26073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73123</xdr:colOff>
      <xdr:row>118</xdr:row>
      <xdr:rowOff>190972</xdr:rowOff>
    </xdr:from>
    <xdr:to>
      <xdr:col>3</xdr:col>
      <xdr:colOff>184227</xdr:colOff>
      <xdr:row>120</xdr:row>
      <xdr:rowOff>0</xdr:rowOff>
    </xdr:to>
    <xdr:sp macro="" textlink="">
      <xdr:nvSpPr>
        <xdr:cNvPr id="92" name="Diagrama de flujo: proceso alternativo 96">
          <a:extLst>
            <a:ext uri="{FF2B5EF4-FFF2-40B4-BE49-F238E27FC236}">
              <a16:creationId xmlns:a16="http://schemas.microsoft.com/office/drawing/2014/main" id="{61651577-97F7-4973-957C-030556F3550E}"/>
            </a:ext>
          </a:extLst>
        </xdr:cNvPr>
        <xdr:cNvSpPr/>
      </xdr:nvSpPr>
      <xdr:spPr>
        <a:xfrm>
          <a:off x="570080" y="17087494"/>
          <a:ext cx="357677" cy="305984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13</a:t>
          </a:r>
        </a:p>
      </xdr:txBody>
    </xdr:sp>
    <xdr:clientData/>
  </xdr:twoCellAnchor>
  <xdr:twoCellAnchor>
    <xdr:from>
      <xdr:col>2</xdr:col>
      <xdr:colOff>73123</xdr:colOff>
      <xdr:row>121</xdr:row>
      <xdr:rowOff>190972</xdr:rowOff>
    </xdr:from>
    <xdr:to>
      <xdr:col>3</xdr:col>
      <xdr:colOff>184227</xdr:colOff>
      <xdr:row>123</xdr:row>
      <xdr:rowOff>0</xdr:rowOff>
    </xdr:to>
    <xdr:sp macro="" textlink="">
      <xdr:nvSpPr>
        <xdr:cNvPr id="93" name="Diagrama de flujo: proceso alternativo 100">
          <a:extLst>
            <a:ext uri="{FF2B5EF4-FFF2-40B4-BE49-F238E27FC236}">
              <a16:creationId xmlns:a16="http://schemas.microsoft.com/office/drawing/2014/main" id="{F517B3CE-7ADE-4CE4-BC48-1B16F00B3B73}"/>
            </a:ext>
          </a:extLst>
        </xdr:cNvPr>
        <xdr:cNvSpPr/>
      </xdr:nvSpPr>
      <xdr:spPr>
        <a:xfrm>
          <a:off x="570080" y="17832929"/>
          <a:ext cx="357677" cy="305984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14</a:t>
          </a:r>
        </a:p>
      </xdr:txBody>
    </xdr:sp>
    <xdr:clientData/>
  </xdr:twoCellAnchor>
  <xdr:twoCellAnchor>
    <xdr:from>
      <xdr:col>2</xdr:col>
      <xdr:colOff>73123</xdr:colOff>
      <xdr:row>124</xdr:row>
      <xdr:rowOff>190972</xdr:rowOff>
    </xdr:from>
    <xdr:to>
      <xdr:col>3</xdr:col>
      <xdr:colOff>184227</xdr:colOff>
      <xdr:row>126</xdr:row>
      <xdr:rowOff>0</xdr:rowOff>
    </xdr:to>
    <xdr:sp macro="" textlink="">
      <xdr:nvSpPr>
        <xdr:cNvPr id="94" name="Diagrama de flujo: proceso alternativo 111">
          <a:extLst>
            <a:ext uri="{FF2B5EF4-FFF2-40B4-BE49-F238E27FC236}">
              <a16:creationId xmlns:a16="http://schemas.microsoft.com/office/drawing/2014/main" id="{9447B98B-CC7F-43DF-8770-DE1AB3CE67D9}"/>
            </a:ext>
          </a:extLst>
        </xdr:cNvPr>
        <xdr:cNvSpPr/>
      </xdr:nvSpPr>
      <xdr:spPr>
        <a:xfrm>
          <a:off x="570080" y="18578363"/>
          <a:ext cx="357677" cy="305985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15</a:t>
          </a:r>
        </a:p>
      </xdr:txBody>
    </xdr:sp>
    <xdr:clientData/>
  </xdr:twoCellAnchor>
  <xdr:twoCellAnchor>
    <xdr:from>
      <xdr:col>2</xdr:col>
      <xdr:colOff>73123</xdr:colOff>
      <xdr:row>127</xdr:row>
      <xdr:rowOff>190972</xdr:rowOff>
    </xdr:from>
    <xdr:to>
      <xdr:col>3</xdr:col>
      <xdr:colOff>184227</xdr:colOff>
      <xdr:row>129</xdr:row>
      <xdr:rowOff>0</xdr:rowOff>
    </xdr:to>
    <xdr:sp macro="" textlink="">
      <xdr:nvSpPr>
        <xdr:cNvPr id="95" name="Diagrama de flujo: proceso alternativo 114">
          <a:extLst>
            <a:ext uri="{FF2B5EF4-FFF2-40B4-BE49-F238E27FC236}">
              <a16:creationId xmlns:a16="http://schemas.microsoft.com/office/drawing/2014/main" id="{6BC23C07-81AF-4097-959C-0C4CD3EE4FB2}"/>
            </a:ext>
          </a:extLst>
        </xdr:cNvPr>
        <xdr:cNvSpPr/>
      </xdr:nvSpPr>
      <xdr:spPr>
        <a:xfrm>
          <a:off x="570080" y="19323798"/>
          <a:ext cx="357677" cy="305985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16</a:t>
          </a:r>
        </a:p>
      </xdr:txBody>
    </xdr:sp>
    <xdr:clientData/>
  </xdr:twoCellAnchor>
  <xdr:twoCellAnchor>
    <xdr:from>
      <xdr:col>5</xdr:col>
      <xdr:colOff>143931</xdr:colOff>
      <xdr:row>112</xdr:row>
      <xdr:rowOff>42330</xdr:rowOff>
    </xdr:from>
    <xdr:to>
      <xdr:col>8</xdr:col>
      <xdr:colOff>100044</xdr:colOff>
      <xdr:row>114</xdr:row>
      <xdr:rowOff>3273</xdr:rowOff>
    </xdr:to>
    <xdr:sp macro="" textlink="">
      <xdr:nvSpPr>
        <xdr:cNvPr id="96" name="Diagrama de flujo: terminador 115">
          <a:extLst>
            <a:ext uri="{FF2B5EF4-FFF2-40B4-BE49-F238E27FC236}">
              <a16:creationId xmlns:a16="http://schemas.microsoft.com/office/drawing/2014/main" id="{A175B48C-239B-4341-8E46-D81B7AC2F2D3}"/>
            </a:ext>
          </a:extLst>
        </xdr:cNvPr>
        <xdr:cNvSpPr/>
      </xdr:nvSpPr>
      <xdr:spPr>
        <a:xfrm>
          <a:off x="1384417" y="15449887"/>
          <a:ext cx="699643" cy="455995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s-MX" sz="900" b="0">
              <a:solidFill>
                <a:sysClr val="windowText" lastClr="000000"/>
              </a:solidFill>
              <a:latin typeface="Montserrat" panose="00000500000000000000" pitchFamily="2" charset="0"/>
              <a:ea typeface="+mn-ea"/>
              <a:cs typeface="+mn-cs"/>
            </a:rPr>
            <a:t>Continua</a:t>
          </a:r>
        </a:p>
      </xdr:txBody>
    </xdr:sp>
    <xdr:clientData/>
  </xdr:twoCellAnchor>
  <xdr:twoCellAnchor>
    <xdr:from>
      <xdr:col>6</xdr:col>
      <xdr:colOff>243369</xdr:colOff>
      <xdr:row>114</xdr:row>
      <xdr:rowOff>3273</xdr:rowOff>
    </xdr:from>
    <xdr:to>
      <xdr:col>7</xdr:col>
      <xdr:colOff>0</xdr:colOff>
      <xdr:row>115</xdr:row>
      <xdr:rowOff>10353</xdr:rowOff>
    </xdr:to>
    <xdr:cxnSp macro="">
      <xdr:nvCxnSpPr>
        <xdr:cNvPr id="97" name="Conector recto de flecha 119">
          <a:extLst>
            <a:ext uri="{FF2B5EF4-FFF2-40B4-BE49-F238E27FC236}">
              <a16:creationId xmlns:a16="http://schemas.microsoft.com/office/drawing/2014/main" id="{D8A465AC-B1F2-4966-A14E-5ADE648FA466}"/>
            </a:ext>
          </a:extLst>
        </xdr:cNvPr>
        <xdr:cNvCxnSpPr>
          <a:cxnSpLocks/>
          <a:stCxn id="96" idx="2"/>
        </xdr:cNvCxnSpPr>
      </xdr:nvCxnSpPr>
      <xdr:spPr>
        <a:xfrm>
          <a:off x="1738049" y="15905882"/>
          <a:ext cx="1299" cy="25746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225679</xdr:colOff>
      <xdr:row>141</xdr:row>
      <xdr:rowOff>48941</xdr:rowOff>
    </xdr:from>
    <xdr:to>
      <xdr:col>11</xdr:col>
      <xdr:colOff>187507</xdr:colOff>
      <xdr:row>142</xdr:row>
      <xdr:rowOff>174102</xdr:rowOff>
    </xdr:to>
    <xdr:sp macro="" textlink="">
      <xdr:nvSpPr>
        <xdr:cNvPr id="98" name="Diagrama de flujo: terminador 132">
          <a:extLst>
            <a:ext uri="{FF2B5EF4-FFF2-40B4-BE49-F238E27FC236}">
              <a16:creationId xmlns:a16="http://schemas.microsoft.com/office/drawing/2014/main" id="{006BC367-2897-41ED-9040-53F9799162AA}"/>
            </a:ext>
          </a:extLst>
        </xdr:cNvPr>
        <xdr:cNvSpPr/>
      </xdr:nvSpPr>
      <xdr:spPr>
        <a:xfrm>
          <a:off x="2213505" y="22662368"/>
          <a:ext cx="707263" cy="367924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marL="0" indent="0" algn="ctr"/>
          <a:r>
            <a:rPr lang="es-MX" sz="900" b="0">
              <a:solidFill>
                <a:sysClr val="windowText" lastClr="000000"/>
              </a:solidFill>
              <a:latin typeface="Montserrat" panose="00000500000000000000" pitchFamily="2" charset="0"/>
              <a:ea typeface="+mn-ea"/>
              <a:cs typeface="+mn-cs"/>
            </a:rPr>
            <a:t>FIN</a:t>
          </a:r>
        </a:p>
      </xdr:txBody>
    </xdr:sp>
    <xdr:clientData/>
  </xdr:twoCellAnchor>
  <xdr:twoCellAnchor>
    <xdr:from>
      <xdr:col>0</xdr:col>
      <xdr:colOff>41415</xdr:colOff>
      <xdr:row>101</xdr:row>
      <xdr:rowOff>0</xdr:rowOff>
    </xdr:from>
    <xdr:to>
      <xdr:col>0</xdr:col>
      <xdr:colOff>207066</xdr:colOff>
      <xdr:row>106</xdr:row>
      <xdr:rowOff>13068</xdr:rowOff>
    </xdr:to>
    <xdr:sp macro="" textlink="">
      <xdr:nvSpPr>
        <xdr:cNvPr id="99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ED7903-7651-4882-8BB9-4D3D287E0E55}"/>
            </a:ext>
          </a:extLst>
        </xdr:cNvPr>
        <xdr:cNvSpPr/>
      </xdr:nvSpPr>
      <xdr:spPr>
        <a:xfrm>
          <a:off x="41415" y="12672391"/>
          <a:ext cx="169461" cy="125927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7</xdr:col>
      <xdr:colOff>2080</xdr:colOff>
      <xdr:row>129</xdr:row>
      <xdr:rowOff>0</xdr:rowOff>
    </xdr:from>
    <xdr:to>
      <xdr:col>7</xdr:col>
      <xdr:colOff>4299</xdr:colOff>
      <xdr:row>130</xdr:row>
      <xdr:rowOff>103982</xdr:rowOff>
    </xdr:to>
    <xdr:cxnSp macro="">
      <xdr:nvCxnSpPr>
        <xdr:cNvPr id="100" name="Conector recto de flecha 29">
          <a:extLst>
            <a:ext uri="{FF2B5EF4-FFF2-40B4-BE49-F238E27FC236}">
              <a16:creationId xmlns:a16="http://schemas.microsoft.com/office/drawing/2014/main" id="{3BAF3992-45D5-476E-B118-1666048F76C0}"/>
            </a:ext>
          </a:extLst>
        </xdr:cNvPr>
        <xdr:cNvCxnSpPr>
          <a:cxnSpLocks/>
        </xdr:cNvCxnSpPr>
      </xdr:nvCxnSpPr>
      <xdr:spPr>
        <a:xfrm flipH="1">
          <a:off x="1741428" y="19629783"/>
          <a:ext cx="4124" cy="35055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6204</xdr:colOff>
      <xdr:row>133</xdr:row>
      <xdr:rowOff>0</xdr:rowOff>
    </xdr:to>
    <xdr:cxnSp macro="">
      <xdr:nvCxnSpPr>
        <xdr:cNvPr id="101" name="Conector recto de flecha 29">
          <a:extLst>
            <a:ext uri="{FF2B5EF4-FFF2-40B4-BE49-F238E27FC236}">
              <a16:creationId xmlns:a16="http://schemas.microsoft.com/office/drawing/2014/main" id="{8D362489-6DE1-415D-AC85-2B3758FE0D4D}"/>
            </a:ext>
          </a:extLst>
        </xdr:cNvPr>
        <xdr:cNvCxnSpPr>
          <a:cxnSpLocks/>
        </xdr:cNvCxnSpPr>
      </xdr:nvCxnSpPr>
      <xdr:spPr>
        <a:xfrm flipH="1">
          <a:off x="1739348" y="20375217"/>
          <a:ext cx="8109" cy="24847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8109</xdr:colOff>
      <xdr:row>136</xdr:row>
      <xdr:rowOff>10354</xdr:rowOff>
    </xdr:to>
    <xdr:cxnSp macro="">
      <xdr:nvCxnSpPr>
        <xdr:cNvPr id="102" name="Conector recto de flecha 29">
          <a:extLst>
            <a:ext uri="{FF2B5EF4-FFF2-40B4-BE49-F238E27FC236}">
              <a16:creationId xmlns:a16="http://schemas.microsoft.com/office/drawing/2014/main" id="{1A3911F7-9501-48D8-81A3-33112C432644}"/>
            </a:ext>
          </a:extLst>
        </xdr:cNvPr>
        <xdr:cNvCxnSpPr>
          <a:cxnSpLocks/>
        </xdr:cNvCxnSpPr>
      </xdr:nvCxnSpPr>
      <xdr:spPr>
        <a:xfrm flipH="1">
          <a:off x="1739348" y="21120652"/>
          <a:ext cx="10014" cy="26073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8109</xdr:colOff>
      <xdr:row>138</xdr:row>
      <xdr:rowOff>0</xdr:rowOff>
    </xdr:from>
    <xdr:to>
      <xdr:col>7</xdr:col>
      <xdr:colOff>12258</xdr:colOff>
      <xdr:row>138</xdr:row>
      <xdr:rowOff>240030</xdr:rowOff>
    </xdr:to>
    <xdr:cxnSp macro="">
      <xdr:nvCxnSpPr>
        <xdr:cNvPr id="103" name="Conector recto de flecha 29">
          <a:extLst>
            <a:ext uri="{FF2B5EF4-FFF2-40B4-BE49-F238E27FC236}">
              <a16:creationId xmlns:a16="http://schemas.microsoft.com/office/drawing/2014/main" id="{2FB62A46-A8A8-4646-BAF1-A0A0ACB917FD}"/>
            </a:ext>
          </a:extLst>
        </xdr:cNvPr>
        <xdr:cNvCxnSpPr>
          <a:cxnSpLocks/>
        </xdr:cNvCxnSpPr>
      </xdr:nvCxnSpPr>
      <xdr:spPr>
        <a:xfrm>
          <a:off x="1749362" y="21866087"/>
          <a:ext cx="6054" cy="2438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103985</xdr:colOff>
      <xdr:row>133</xdr:row>
      <xdr:rowOff>121952</xdr:rowOff>
    </xdr:from>
    <xdr:to>
      <xdr:col>3</xdr:col>
      <xdr:colOff>199014</xdr:colOff>
      <xdr:row>134</xdr:row>
      <xdr:rowOff>213931</xdr:rowOff>
    </xdr:to>
    <xdr:sp macro="" textlink="">
      <xdr:nvSpPr>
        <xdr:cNvPr id="104" name="Diagrama de flujo: proceso alternativo 32">
          <a:extLst>
            <a:ext uri="{FF2B5EF4-FFF2-40B4-BE49-F238E27FC236}">
              <a16:creationId xmlns:a16="http://schemas.microsoft.com/office/drawing/2014/main" id="{AD758236-5209-4FE0-B66E-329D432C36C5}"/>
            </a:ext>
          </a:extLst>
        </xdr:cNvPr>
        <xdr:cNvSpPr/>
      </xdr:nvSpPr>
      <xdr:spPr>
        <a:xfrm>
          <a:off x="599037" y="20747553"/>
          <a:ext cx="347317" cy="334742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18</a:t>
          </a:r>
        </a:p>
      </xdr:txBody>
    </xdr:sp>
    <xdr:clientData/>
  </xdr:twoCellAnchor>
  <xdr:twoCellAnchor>
    <xdr:from>
      <xdr:col>2</xdr:col>
      <xdr:colOff>108000</xdr:colOff>
      <xdr:row>139</xdr:row>
      <xdr:rowOff>110158</xdr:rowOff>
    </xdr:from>
    <xdr:to>
      <xdr:col>3</xdr:col>
      <xdr:colOff>199219</xdr:colOff>
      <xdr:row>140</xdr:row>
      <xdr:rowOff>215306</xdr:rowOff>
    </xdr:to>
    <xdr:sp macro="" textlink="">
      <xdr:nvSpPr>
        <xdr:cNvPr id="106" name="Diagrama de flujo: proceso alternativo 39">
          <a:extLst>
            <a:ext uri="{FF2B5EF4-FFF2-40B4-BE49-F238E27FC236}">
              <a16:creationId xmlns:a16="http://schemas.microsoft.com/office/drawing/2014/main" id="{CF1873B7-4845-4CD3-8612-28785E4031F1}"/>
            </a:ext>
          </a:extLst>
        </xdr:cNvPr>
        <xdr:cNvSpPr/>
      </xdr:nvSpPr>
      <xdr:spPr>
        <a:xfrm>
          <a:off x="603052" y="22222818"/>
          <a:ext cx="343507" cy="351721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20</a:t>
          </a:r>
        </a:p>
      </xdr:txBody>
    </xdr:sp>
    <xdr:clientData/>
  </xdr:twoCellAnchor>
  <xdr:twoCellAnchor>
    <xdr:from>
      <xdr:col>2</xdr:col>
      <xdr:colOff>115790</xdr:colOff>
      <xdr:row>136</xdr:row>
      <xdr:rowOff>135365</xdr:rowOff>
    </xdr:from>
    <xdr:to>
      <xdr:col>3</xdr:col>
      <xdr:colOff>207009</xdr:colOff>
      <xdr:row>137</xdr:row>
      <xdr:rowOff>229248</xdr:rowOff>
    </xdr:to>
    <xdr:sp macro="" textlink="">
      <xdr:nvSpPr>
        <xdr:cNvPr id="107" name="Diagrama de flujo: proceso alternativo 40">
          <a:extLst>
            <a:ext uri="{FF2B5EF4-FFF2-40B4-BE49-F238E27FC236}">
              <a16:creationId xmlns:a16="http://schemas.microsoft.com/office/drawing/2014/main" id="{49DD57E5-2350-4FB3-9636-EE7C652C9600}"/>
            </a:ext>
          </a:extLst>
        </xdr:cNvPr>
        <xdr:cNvSpPr/>
      </xdr:nvSpPr>
      <xdr:spPr>
        <a:xfrm>
          <a:off x="612747" y="21500685"/>
          <a:ext cx="343507" cy="346172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19</a:t>
          </a:r>
        </a:p>
      </xdr:txBody>
    </xdr:sp>
    <xdr:clientData/>
  </xdr:twoCellAnchor>
  <xdr:twoCellAnchor>
    <xdr:from>
      <xdr:col>2</xdr:col>
      <xdr:colOff>83672</xdr:colOff>
      <xdr:row>130</xdr:row>
      <xdr:rowOff>113886</xdr:rowOff>
    </xdr:from>
    <xdr:to>
      <xdr:col>3</xdr:col>
      <xdr:colOff>174891</xdr:colOff>
      <xdr:row>131</xdr:row>
      <xdr:rowOff>207605</xdr:rowOff>
    </xdr:to>
    <xdr:sp macro="" textlink="">
      <xdr:nvSpPr>
        <xdr:cNvPr id="108" name="Diagrama de flujo: proceso alternativo 44">
          <a:extLst>
            <a:ext uri="{FF2B5EF4-FFF2-40B4-BE49-F238E27FC236}">
              <a16:creationId xmlns:a16="http://schemas.microsoft.com/office/drawing/2014/main" id="{86676D9A-B93D-4A8C-B2D5-AED13D096349}"/>
            </a:ext>
          </a:extLst>
        </xdr:cNvPr>
        <xdr:cNvSpPr/>
      </xdr:nvSpPr>
      <xdr:spPr>
        <a:xfrm>
          <a:off x="582534" y="19992147"/>
          <a:ext cx="333982" cy="346007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17</a:t>
          </a:r>
        </a:p>
      </xdr:txBody>
    </xdr:sp>
    <xdr:clientData/>
  </xdr:twoCellAnchor>
  <xdr:twoCellAnchor>
    <xdr:from>
      <xdr:col>3</xdr:col>
      <xdr:colOff>29371</xdr:colOff>
      <xdr:row>140</xdr:row>
      <xdr:rowOff>211495</xdr:rowOff>
    </xdr:from>
    <xdr:to>
      <xdr:col>8</xdr:col>
      <xdr:colOff>225679</xdr:colOff>
      <xdr:row>141</xdr:row>
      <xdr:rowOff>234807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6B362556-95B1-4BDF-A767-FFAF0E7D4CB2}"/>
            </a:ext>
          </a:extLst>
        </xdr:cNvPr>
        <xdr:cNvCxnSpPr>
          <a:stCxn id="106" idx="2"/>
          <a:endCxn id="98" idx="1"/>
        </xdr:cNvCxnSpPr>
      </xdr:nvCxnSpPr>
      <xdr:spPr>
        <a:xfrm rot="16200000" flipH="1">
          <a:off x="1354450" y="21989179"/>
          <a:ext cx="277506" cy="144060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93179</xdr:colOff>
      <xdr:row>95</xdr:row>
      <xdr:rowOff>124239</xdr:rowOff>
    </xdr:from>
    <xdr:to>
      <xdr:col>3</xdr:col>
      <xdr:colOff>189438</xdr:colOff>
      <xdr:row>96</xdr:row>
      <xdr:rowOff>216361</xdr:rowOff>
    </xdr:to>
    <xdr:sp macro="" textlink="">
      <xdr:nvSpPr>
        <xdr:cNvPr id="114" name="Diagrama de flujo: proceso alternativo 3">
          <a:extLst>
            <a:ext uri="{FF2B5EF4-FFF2-40B4-BE49-F238E27FC236}">
              <a16:creationId xmlns:a16="http://schemas.microsoft.com/office/drawing/2014/main" id="{148639A3-13D5-4939-B615-968D5A3C3E69}"/>
            </a:ext>
          </a:extLst>
        </xdr:cNvPr>
        <xdr:cNvSpPr/>
      </xdr:nvSpPr>
      <xdr:spPr>
        <a:xfrm>
          <a:off x="590136" y="23729674"/>
          <a:ext cx="344737" cy="340600"/>
        </a:xfrm>
        <a:prstGeom prst="flowChartAlternateProcess">
          <a:avLst/>
        </a:prstGeom>
        <a:solidFill>
          <a:srgbClr val="008080"/>
        </a:solidFill>
        <a:ln>
          <a:solidFill>
            <a:srgbClr val="008080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s-MX" sz="1200" b="1">
              <a:solidFill>
                <a:schemeClr val="bg1">
                  <a:lumMod val="9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11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Ejemplo%20Completo%2017%20modulos%20INOCUIDAD.xlsx" TargetMode="External"/><Relationship Id="rId1" Type="http://schemas.openxmlformats.org/officeDocument/2006/relationships/externalLinkPath" Target="Ejemplo%20Completo%2017%20modulos%20INOCUID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MODULO%208%20Trazabilidad-COLORED.xlsx" TargetMode="External"/><Relationship Id="rId1" Type="http://schemas.openxmlformats.org/officeDocument/2006/relationships/externalLinkPath" Target="MODULO%208%20Trazabilidad-COLO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/>
      <sheetData sheetId="1"/>
      <sheetData sheetId="2"/>
      <sheetData sheetId="3">
        <row r="2">
          <cell r="CI2" t="str">
            <v>REGISTRO SENASICA</v>
          </cell>
        </row>
        <row r="4">
          <cell r="CI4" t="str">
            <v>EMISIÓN</v>
          </cell>
        </row>
        <row r="5">
          <cell r="CI5" t="str">
            <v>VIGENCIA</v>
          </cell>
        </row>
        <row r="6">
          <cell r="CI6" t="str">
            <v>VERSIÓN</v>
          </cell>
        </row>
        <row r="28">
          <cell r="D28" t="str">
            <v>RPP-DOC-2.5</v>
          </cell>
        </row>
        <row r="72">
          <cell r="D72" t="str">
            <v>RPP-DOC-9.0</v>
          </cell>
          <cell r="H72" t="str">
            <v>ANÁLISIS DE PELIGROS Y PLAN TÉCNICO DE LA UNIDAD DE PRODUCCIÓN</v>
          </cell>
        </row>
        <row r="74">
          <cell r="D74" t="str">
            <v>DOC-9.1</v>
          </cell>
          <cell r="H74" t="str">
            <v>HISTORIAL PRODUCTIVO</v>
          </cell>
          <cell r="BD74" t="str">
            <v>00</v>
          </cell>
          <cell r="BG74">
            <v>45658</v>
          </cell>
          <cell r="CI74">
            <v>46023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8.1"/>
      <sheetName val="8.1.2"/>
      <sheetName val="8.2"/>
      <sheetName val="8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74B6-B77D-4457-BA79-505F5DA4FA64}">
  <dimension ref="A1:I91"/>
  <sheetViews>
    <sheetView topLeftCell="A5" workbookViewId="0">
      <selection activeCell="L10" sqref="L10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s="365" customFormat="1" x14ac:dyDescent="0.3">
      <c r="A1" s="361"/>
      <c r="B1" s="361"/>
      <c r="C1" s="361"/>
      <c r="D1" s="362"/>
      <c r="E1" s="362"/>
      <c r="F1" s="362"/>
      <c r="G1" s="362"/>
      <c r="H1" s="363" t="s">
        <v>87</v>
      </c>
      <c r="I1" s="364"/>
    </row>
    <row r="2" spans="1:9" s="365" customFormat="1" x14ac:dyDescent="0.3">
      <c r="A2" s="361"/>
      <c r="B2" s="361"/>
      <c r="C2" s="361"/>
      <c r="D2" s="366"/>
      <c r="E2" s="366"/>
      <c r="F2" s="366"/>
      <c r="G2" s="366"/>
      <c r="H2" s="361"/>
      <c r="I2" s="361"/>
    </row>
    <row r="3" spans="1:9" s="365" customFormat="1" x14ac:dyDescent="0.3">
      <c r="A3" s="361"/>
      <c r="B3" s="361"/>
      <c r="C3" s="361"/>
      <c r="D3" s="367"/>
      <c r="E3" s="367"/>
      <c r="F3" s="367"/>
      <c r="G3" s="367"/>
      <c r="H3" s="368" t="s">
        <v>88</v>
      </c>
      <c r="I3" s="369"/>
    </row>
    <row r="4" spans="1:9" s="365" customFormat="1" ht="32.25" customHeight="1" x14ac:dyDescent="0.3">
      <c r="A4" s="361"/>
      <c r="B4" s="361"/>
      <c r="C4" s="361"/>
      <c r="D4" s="370" t="s">
        <v>94</v>
      </c>
      <c r="E4" s="370"/>
      <c r="F4" s="370"/>
      <c r="G4" s="370"/>
      <c r="H4" s="368" t="s">
        <v>89</v>
      </c>
      <c r="I4" s="369"/>
    </row>
    <row r="5" spans="1:9" s="365" customFormat="1" x14ac:dyDescent="0.3">
      <c r="A5" s="361"/>
      <c r="B5" s="361"/>
      <c r="C5" s="361"/>
      <c r="D5" s="371" t="s">
        <v>93</v>
      </c>
      <c r="E5" s="371"/>
      <c r="F5" s="371"/>
      <c r="G5" s="371"/>
      <c r="H5" s="368" t="s">
        <v>90</v>
      </c>
      <c r="I5" s="372"/>
    </row>
    <row r="6" spans="1:9" s="365" customFormat="1" x14ac:dyDescent="0.3">
      <c r="A6" s="361"/>
      <c r="B6" s="361"/>
      <c r="C6" s="361"/>
      <c r="D6" s="373"/>
      <c r="E6" s="373"/>
      <c r="F6" s="373"/>
      <c r="G6" s="373"/>
      <c r="H6" s="374"/>
      <c r="I6" s="375"/>
    </row>
    <row r="7" spans="1:9" ht="32.25" customHeight="1" x14ac:dyDescent="0.3">
      <c r="A7" s="5"/>
      <c r="B7" s="5"/>
      <c r="C7" s="5"/>
      <c r="D7" s="5"/>
      <c r="E7" s="5"/>
      <c r="F7" s="5"/>
      <c r="G7" s="5"/>
      <c r="H7" s="5"/>
      <c r="I7" s="5"/>
    </row>
    <row r="8" spans="1:9" ht="45" x14ac:dyDescent="0.75">
      <c r="A8" s="6"/>
      <c r="B8" s="6"/>
      <c r="C8" s="6"/>
      <c r="D8" s="6"/>
      <c r="E8" s="6"/>
      <c r="F8" s="6"/>
      <c r="G8" s="6"/>
      <c r="H8" s="6"/>
      <c r="I8" s="6"/>
    </row>
    <row r="9" spans="1:9" ht="45" x14ac:dyDescent="0.3">
      <c r="A9" s="7" t="s">
        <v>91</v>
      </c>
      <c r="B9" s="7"/>
      <c r="C9" s="7"/>
      <c r="D9" s="7"/>
      <c r="E9" s="7"/>
      <c r="F9" s="7"/>
      <c r="G9" s="7"/>
      <c r="H9" s="7"/>
      <c r="I9" s="7"/>
    </row>
    <row r="10" spans="1:9" ht="45" x14ac:dyDescent="0.75">
      <c r="A10" s="6"/>
      <c r="B10" s="6"/>
      <c r="C10" s="6"/>
      <c r="D10" s="6"/>
      <c r="E10" s="6"/>
      <c r="F10" s="6"/>
      <c r="G10" s="6"/>
      <c r="H10" s="6"/>
      <c r="I10" s="8"/>
    </row>
    <row r="11" spans="1:9" ht="45" x14ac:dyDescent="0.75">
      <c r="A11" s="9">
        <v>9</v>
      </c>
      <c r="B11" s="9"/>
      <c r="C11" s="9"/>
      <c r="D11" s="9"/>
      <c r="E11" s="9"/>
      <c r="F11" s="9"/>
      <c r="G11" s="9"/>
      <c r="H11" s="9"/>
      <c r="I11" s="9"/>
    </row>
    <row r="12" spans="1:9" ht="45" x14ac:dyDescent="0.75">
      <c r="A12" s="6"/>
      <c r="B12" s="6"/>
      <c r="C12" s="10"/>
      <c r="D12" s="6"/>
      <c r="E12" s="6"/>
      <c r="F12" s="6"/>
      <c r="G12" s="6"/>
      <c r="H12" s="6"/>
      <c r="I12" s="6"/>
    </row>
    <row r="13" spans="1:9" ht="45" x14ac:dyDescent="0.75">
      <c r="A13" s="9" t="s">
        <v>92</v>
      </c>
      <c r="B13" s="9"/>
      <c r="C13" s="9"/>
      <c r="D13" s="9"/>
      <c r="E13" s="9"/>
      <c r="F13" s="9"/>
      <c r="G13" s="9"/>
      <c r="H13" s="9"/>
      <c r="I13" s="9"/>
    </row>
    <row r="14" spans="1:9" ht="45" x14ac:dyDescent="0.75">
      <c r="A14" s="6"/>
      <c r="B14" s="6"/>
      <c r="C14" s="10"/>
      <c r="D14" s="6"/>
      <c r="E14" s="6"/>
      <c r="F14" s="6"/>
      <c r="G14" s="6"/>
      <c r="H14" s="6"/>
      <c r="I14" s="6"/>
    </row>
    <row r="15" spans="1:9" ht="45" customHeight="1" x14ac:dyDescent="0.3">
      <c r="A15" s="11" t="s">
        <v>94</v>
      </c>
      <c r="B15" s="11"/>
      <c r="C15" s="11"/>
      <c r="D15" s="11"/>
      <c r="E15" s="11"/>
      <c r="F15" s="11"/>
      <c r="G15" s="11"/>
      <c r="H15" s="11"/>
      <c r="I15" s="11"/>
    </row>
    <row r="16" spans="1:9" ht="4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4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</row>
    <row r="19" spans="1:9" x14ac:dyDescent="0.3">
      <c r="A19" s="12"/>
      <c r="B19" s="12"/>
    </row>
    <row r="20" spans="1:9" x14ac:dyDescent="0.3">
      <c r="C20" s="13"/>
    </row>
    <row r="21" spans="1:9" x14ac:dyDescent="0.3">
      <c r="C21" s="14"/>
    </row>
    <row r="22" spans="1:9" x14ac:dyDescent="0.3">
      <c r="C22" s="14"/>
    </row>
    <row r="23" spans="1:9" x14ac:dyDescent="0.3">
      <c r="C23" s="14"/>
    </row>
    <row r="24" spans="1:9" x14ac:dyDescent="0.3">
      <c r="C24" s="13"/>
      <c r="D24" s="12"/>
    </row>
    <row r="25" spans="1:9" x14ac:dyDescent="0.3">
      <c r="C25" s="14"/>
    </row>
    <row r="26" spans="1:9" x14ac:dyDescent="0.3">
      <c r="C26" s="14"/>
    </row>
    <row r="27" spans="1:9" x14ac:dyDescent="0.3">
      <c r="C27" s="14"/>
    </row>
    <row r="29" spans="1:9" x14ac:dyDescent="0.3">
      <c r="A29" s="12"/>
      <c r="B29" s="12"/>
    </row>
    <row r="33" spans="1:2" x14ac:dyDescent="0.3">
      <c r="A33" s="12"/>
      <c r="B33" s="15"/>
    </row>
    <row r="37" spans="1:2" x14ac:dyDescent="0.3">
      <c r="B37" s="12"/>
    </row>
    <row r="45" spans="1:2" x14ac:dyDescent="0.3">
      <c r="B45" s="12"/>
    </row>
    <row r="66" spans="1:2" x14ac:dyDescent="0.3">
      <c r="A66" s="12"/>
      <c r="B66" s="12"/>
    </row>
    <row r="71" spans="1:2" x14ac:dyDescent="0.3">
      <c r="A71" s="12"/>
      <c r="B71" s="12"/>
    </row>
    <row r="77" spans="1:2" x14ac:dyDescent="0.3">
      <c r="A77" s="12"/>
      <c r="B77" s="12"/>
    </row>
    <row r="79" spans="1:2" x14ac:dyDescent="0.3">
      <c r="A79" s="12"/>
    </row>
    <row r="80" spans="1:2" x14ac:dyDescent="0.3">
      <c r="A80" s="12"/>
    </row>
    <row r="81" spans="1:2" x14ac:dyDescent="0.3">
      <c r="A81" s="12"/>
      <c r="B81" s="12"/>
    </row>
    <row r="82" spans="1:2" x14ac:dyDescent="0.3">
      <c r="A82" s="12"/>
    </row>
    <row r="83" spans="1:2" x14ac:dyDescent="0.3">
      <c r="A83" s="12"/>
    </row>
    <row r="84" spans="1:2" x14ac:dyDescent="0.3">
      <c r="A84" s="12"/>
    </row>
    <row r="85" spans="1:2" x14ac:dyDescent="0.3">
      <c r="A85" s="12"/>
    </row>
    <row r="90" spans="1:2" x14ac:dyDescent="0.3">
      <c r="A90" s="12"/>
      <c r="B90" s="12"/>
    </row>
    <row r="91" spans="1:2" x14ac:dyDescent="0.3">
      <c r="A91" s="12"/>
    </row>
  </sheetData>
  <mergeCells count="13">
    <mergeCell ref="A7:I7"/>
    <mergeCell ref="A9:I9"/>
    <mergeCell ref="A11:I11"/>
    <mergeCell ref="A13:I13"/>
    <mergeCell ref="A15:I17"/>
    <mergeCell ref="A1:C6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9E24-B1A4-4430-BBD9-90D6B776928F}">
  <dimension ref="B2:DT41"/>
  <sheetViews>
    <sheetView showGridLines="0" tabSelected="1" view="pageBreakPreview" zoomScale="85" zoomScaleNormal="55" zoomScaleSheetLayoutView="85" zoomScalePageLayoutView="70" workbookViewId="0">
      <selection activeCell="BZ17" sqref="BZ17:CC22"/>
    </sheetView>
  </sheetViews>
  <sheetFormatPr defaultColWidth="3.6640625" defaultRowHeight="19.5" customHeight="1" x14ac:dyDescent="0.3"/>
  <cols>
    <col min="1" max="5" width="3.6640625" style="16"/>
    <col min="6" max="20" width="3.6640625" style="17"/>
    <col min="21" max="76" width="3.6640625" style="16"/>
    <col min="77" max="77" width="10" style="16" customWidth="1"/>
    <col min="78" max="16384" width="3.6640625" style="16"/>
  </cols>
  <sheetData>
    <row r="2" spans="2:124" s="177" customFormat="1" ht="19.5" customHeight="1" x14ac:dyDescent="0.3">
      <c r="B2" s="184"/>
      <c r="C2" s="184"/>
      <c r="D2" s="184"/>
      <c r="E2" s="184"/>
      <c r="F2" s="184"/>
      <c r="G2" s="184"/>
      <c r="H2" s="184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233" t="str">
        <f>'[1]1.1'!$CI$2</f>
        <v>REGISTRO SENASICA</v>
      </c>
      <c r="AT2" s="233"/>
      <c r="AU2" s="233"/>
      <c r="AV2" s="233"/>
      <c r="AW2" s="233"/>
      <c r="AX2" s="233"/>
      <c r="AY2" s="233"/>
      <c r="AZ2" s="233"/>
      <c r="BA2" s="234"/>
      <c r="BB2" s="234"/>
      <c r="BC2" s="184"/>
      <c r="BD2" s="184"/>
      <c r="BE2" s="184"/>
      <c r="BF2" s="184"/>
      <c r="BG2" s="184"/>
      <c r="BH2" s="184"/>
      <c r="BI2" s="184"/>
      <c r="BJ2" s="179"/>
      <c r="BK2" s="179"/>
      <c r="BL2" s="179"/>
      <c r="BM2" s="179"/>
      <c r="BN2" s="179"/>
      <c r="BO2" s="179"/>
      <c r="BP2" s="179"/>
      <c r="BQ2" s="179"/>
      <c r="BR2" s="179"/>
      <c r="BS2" s="179"/>
      <c r="BT2" s="179"/>
      <c r="BU2" s="179"/>
      <c r="BV2" s="179"/>
      <c r="BW2" s="179"/>
      <c r="BX2" s="179"/>
      <c r="BY2" s="179"/>
      <c r="BZ2" s="179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  <c r="CO2" s="179"/>
      <c r="CP2" s="235" t="str">
        <f>'[1]1.1'!$CI$2</f>
        <v>REGISTRO SENASICA</v>
      </c>
      <c r="CQ2" s="235"/>
      <c r="CR2" s="235"/>
      <c r="CS2" s="235"/>
      <c r="CT2" s="235"/>
      <c r="CU2" s="235"/>
      <c r="CV2" s="235"/>
      <c r="CW2" s="235"/>
      <c r="CX2" s="235"/>
      <c r="CY2" s="236"/>
      <c r="CZ2" s="236"/>
      <c r="DA2" s="236"/>
      <c r="DB2" s="236"/>
      <c r="DC2" s="236"/>
      <c r="DD2" s="236"/>
      <c r="DE2" s="237"/>
      <c r="DF2" s="237"/>
      <c r="DG2" s="237"/>
      <c r="DH2" s="237"/>
      <c r="DI2" s="237"/>
      <c r="DJ2" s="237"/>
      <c r="DK2" s="237"/>
      <c r="DL2" s="237"/>
      <c r="DM2" s="237"/>
      <c r="DN2" s="237"/>
      <c r="DO2" s="237"/>
      <c r="DP2" s="237"/>
      <c r="DQ2" s="237"/>
      <c r="DR2" s="237"/>
    </row>
    <row r="3" spans="2:124" s="177" customFormat="1" ht="19.5" customHeight="1" x14ac:dyDescent="0.3">
      <c r="B3" s="184"/>
      <c r="C3" s="184"/>
      <c r="D3" s="184"/>
      <c r="E3" s="184"/>
      <c r="F3" s="184"/>
      <c r="G3" s="184"/>
      <c r="H3" s="184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233"/>
      <c r="AT3" s="233"/>
      <c r="AU3" s="233"/>
      <c r="AV3" s="233"/>
      <c r="AW3" s="233"/>
      <c r="AX3" s="233"/>
      <c r="AY3" s="233"/>
      <c r="AZ3" s="233"/>
      <c r="BA3" s="234"/>
      <c r="BB3" s="234"/>
      <c r="BC3" s="184"/>
      <c r="BD3" s="184"/>
      <c r="BE3" s="184"/>
      <c r="BF3" s="184"/>
      <c r="BG3" s="184"/>
      <c r="BH3" s="184"/>
      <c r="BI3" s="184"/>
      <c r="BJ3" s="179"/>
      <c r="BK3" s="179"/>
      <c r="BL3" s="179"/>
      <c r="BM3" s="179"/>
      <c r="BN3" s="179"/>
      <c r="BO3" s="179"/>
      <c r="BP3" s="179"/>
      <c r="BQ3" s="179"/>
      <c r="BR3" s="179"/>
      <c r="BS3" s="179"/>
      <c r="BT3" s="179"/>
      <c r="BU3" s="179"/>
      <c r="BV3" s="179"/>
      <c r="BW3" s="179"/>
      <c r="BX3" s="179"/>
      <c r="BY3" s="179"/>
      <c r="BZ3" s="179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  <c r="CO3" s="179"/>
      <c r="CP3" s="235"/>
      <c r="CQ3" s="235"/>
      <c r="CR3" s="235"/>
      <c r="CS3" s="235"/>
      <c r="CT3" s="235"/>
      <c r="CU3" s="235"/>
      <c r="CV3" s="235"/>
      <c r="CW3" s="235"/>
      <c r="CX3" s="235"/>
      <c r="CY3" s="236"/>
      <c r="CZ3" s="236"/>
      <c r="DA3" s="236"/>
      <c r="DB3" s="236"/>
      <c r="DC3" s="236"/>
      <c r="DD3" s="236"/>
      <c r="DE3" s="237"/>
      <c r="DF3" s="237"/>
      <c r="DG3" s="237"/>
      <c r="DH3" s="237"/>
      <c r="DI3" s="237"/>
      <c r="DJ3" s="237"/>
      <c r="DK3" s="237"/>
      <c r="DL3" s="237"/>
      <c r="DM3" s="237"/>
      <c r="DN3" s="237"/>
      <c r="DO3" s="237"/>
      <c r="DP3" s="237"/>
      <c r="DQ3" s="237"/>
      <c r="DR3" s="237"/>
    </row>
    <row r="4" spans="2:124" s="177" customFormat="1" ht="19.5" customHeight="1" x14ac:dyDescent="0.3">
      <c r="B4" s="184"/>
      <c r="C4" s="184"/>
      <c r="D4" s="184"/>
      <c r="E4" s="184"/>
      <c r="F4" s="184"/>
      <c r="G4" s="184"/>
      <c r="H4" s="184"/>
      <c r="I4" s="238" t="str">
        <f>'[1]1.1'!$H$72</f>
        <v>ANÁLISIS DE PELIGROS Y PLAN TÉCNICO DE LA UNIDAD DE PRODUCCIÓN</v>
      </c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40"/>
      <c r="AS4" s="184" t="str">
        <f>'[1]1.1'!CI4</f>
        <v>EMISIÓN</v>
      </c>
      <c r="AT4" s="184"/>
      <c r="AU4" s="184"/>
      <c r="AV4" s="184"/>
      <c r="AW4" s="185"/>
      <c r="AX4" s="181"/>
      <c r="AY4" s="181"/>
      <c r="AZ4" s="181"/>
      <c r="BA4" s="241"/>
      <c r="BB4" s="241"/>
      <c r="BC4" s="184"/>
      <c r="BD4" s="184"/>
      <c r="BE4" s="184"/>
      <c r="BF4" s="184"/>
      <c r="BG4" s="184"/>
      <c r="BH4" s="184"/>
      <c r="BI4" s="184"/>
      <c r="BJ4" s="242" t="str">
        <f t="shared" ref="BJ4" si="0">$I$4</f>
        <v>ANÁLISIS DE PELIGROS Y PLAN TÉCNICO DE LA UNIDAD DE PRODUCCIÓN</v>
      </c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184" t="str">
        <f>'[1]1.1'!CI4</f>
        <v>EMISIÓN</v>
      </c>
      <c r="CQ4" s="184"/>
      <c r="CR4" s="184"/>
      <c r="CS4" s="184"/>
      <c r="CT4" s="184"/>
      <c r="CU4" s="185"/>
      <c r="CV4" s="185"/>
      <c r="CW4" s="185"/>
      <c r="CX4" s="185"/>
      <c r="CY4" s="236"/>
      <c r="CZ4" s="236"/>
      <c r="DA4" s="236"/>
      <c r="DB4" s="236"/>
      <c r="DC4" s="236"/>
      <c r="DD4" s="236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</row>
    <row r="5" spans="2:124" s="177" customFormat="1" ht="19.5" customHeight="1" x14ac:dyDescent="0.3">
      <c r="B5" s="184"/>
      <c r="C5" s="184"/>
      <c r="D5" s="184"/>
      <c r="E5" s="184"/>
      <c r="F5" s="184"/>
      <c r="G5" s="184"/>
      <c r="H5" s="184"/>
      <c r="I5" s="243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5"/>
      <c r="AS5" s="184" t="str">
        <f>'[1]1.1'!$CI$5</f>
        <v>VIGENCIA</v>
      </c>
      <c r="AT5" s="184"/>
      <c r="AU5" s="184"/>
      <c r="AV5" s="184"/>
      <c r="AW5" s="185"/>
      <c r="AX5" s="181"/>
      <c r="AY5" s="181"/>
      <c r="AZ5" s="181"/>
      <c r="BA5" s="246"/>
      <c r="BB5" s="246"/>
      <c r="BC5" s="184"/>
      <c r="BD5" s="184"/>
      <c r="BE5" s="184"/>
      <c r="BF5" s="184"/>
      <c r="BG5" s="184"/>
      <c r="BH5" s="184"/>
      <c r="BI5" s="184"/>
      <c r="BJ5" s="242"/>
      <c r="BK5" s="242"/>
      <c r="BL5" s="242"/>
      <c r="BM5" s="242"/>
      <c r="BN5" s="242"/>
      <c r="BO5" s="242"/>
      <c r="BP5" s="242"/>
      <c r="BQ5" s="242"/>
      <c r="BR5" s="242"/>
      <c r="BS5" s="242"/>
      <c r="BT5" s="242"/>
      <c r="BU5" s="242"/>
      <c r="BV5" s="242"/>
      <c r="BW5" s="242"/>
      <c r="BX5" s="242"/>
      <c r="BY5" s="242"/>
      <c r="BZ5" s="242"/>
      <c r="CA5" s="242"/>
      <c r="CB5" s="242"/>
      <c r="CC5" s="242"/>
      <c r="CD5" s="242"/>
      <c r="CE5" s="242"/>
      <c r="CF5" s="242"/>
      <c r="CG5" s="242"/>
      <c r="CH5" s="242"/>
      <c r="CI5" s="242"/>
      <c r="CJ5" s="242"/>
      <c r="CK5" s="242"/>
      <c r="CL5" s="242"/>
      <c r="CM5" s="242"/>
      <c r="CN5" s="242"/>
      <c r="CO5" s="242"/>
      <c r="CP5" s="184" t="str">
        <f>'[1]1.1'!$CI$5</f>
        <v>VIGENCIA</v>
      </c>
      <c r="CQ5" s="184"/>
      <c r="CR5" s="184"/>
      <c r="CS5" s="184"/>
      <c r="CT5" s="184"/>
      <c r="CU5" s="185"/>
      <c r="CV5" s="185"/>
      <c r="CW5" s="185"/>
      <c r="CX5" s="185"/>
      <c r="CY5" s="236"/>
      <c r="CZ5" s="236"/>
      <c r="DA5" s="236"/>
      <c r="DB5" s="236"/>
      <c r="DC5" s="236"/>
      <c r="DD5" s="236"/>
      <c r="DE5" s="247"/>
      <c r="DF5" s="247"/>
      <c r="DG5" s="247"/>
      <c r="DH5" s="247"/>
      <c r="DI5" s="247"/>
      <c r="DJ5" s="247"/>
      <c r="DK5" s="247"/>
      <c r="DL5" s="247"/>
      <c r="DR5" s="247"/>
    </row>
    <row r="6" spans="2:124" s="177" customFormat="1" ht="19.5" customHeight="1" x14ac:dyDescent="0.3">
      <c r="B6" s="184"/>
      <c r="C6" s="184"/>
      <c r="D6" s="184"/>
      <c r="E6" s="184"/>
      <c r="F6" s="184"/>
      <c r="G6" s="184"/>
      <c r="H6" s="184"/>
      <c r="I6" s="248" t="str">
        <f>'[1]1.1'!$D$72</f>
        <v>RPP-DOC-9.0</v>
      </c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50"/>
      <c r="AS6" s="184" t="str">
        <f>'[1]1.1'!$CI$6</f>
        <v>VERSIÓN</v>
      </c>
      <c r="AT6" s="184"/>
      <c r="AU6" s="184"/>
      <c r="AV6" s="184"/>
      <c r="AW6" s="187"/>
      <c r="AX6" s="181"/>
      <c r="AY6" s="181"/>
      <c r="AZ6" s="181"/>
      <c r="BA6" s="234"/>
      <c r="BB6" s="234"/>
      <c r="BC6" s="184"/>
      <c r="BD6" s="184"/>
      <c r="BE6" s="184"/>
      <c r="BF6" s="184"/>
      <c r="BG6" s="184"/>
      <c r="BH6" s="184"/>
      <c r="BI6" s="184"/>
      <c r="BJ6" s="251" t="str">
        <f t="shared" ref="BJ6" si="1">$I$6</f>
        <v>RPP-DOC-9.0</v>
      </c>
      <c r="BK6" s="251"/>
      <c r="BL6" s="251"/>
      <c r="BM6" s="251"/>
      <c r="BN6" s="251"/>
      <c r="BO6" s="251"/>
      <c r="BP6" s="251"/>
      <c r="BQ6" s="251"/>
      <c r="BR6" s="251"/>
      <c r="BS6" s="251"/>
      <c r="BT6" s="251"/>
      <c r="BU6" s="251"/>
      <c r="BV6" s="251"/>
      <c r="BW6" s="251"/>
      <c r="BX6" s="251"/>
      <c r="BY6" s="251"/>
      <c r="BZ6" s="251"/>
      <c r="CA6" s="251"/>
      <c r="CB6" s="251"/>
      <c r="CC6" s="251"/>
      <c r="CD6" s="251"/>
      <c r="CE6" s="251"/>
      <c r="CF6" s="251"/>
      <c r="CG6" s="251"/>
      <c r="CH6" s="251"/>
      <c r="CI6" s="251"/>
      <c r="CJ6" s="251"/>
      <c r="CK6" s="251"/>
      <c r="CL6" s="251"/>
      <c r="CM6" s="251"/>
      <c r="CN6" s="251"/>
      <c r="CO6" s="251"/>
      <c r="CP6" s="184" t="str">
        <f>'[1]1.1'!$CI$6</f>
        <v>VERSIÓN</v>
      </c>
      <c r="CQ6" s="184"/>
      <c r="CR6" s="184"/>
      <c r="CS6" s="184"/>
      <c r="CT6" s="184"/>
      <c r="CU6" s="187"/>
      <c r="CV6" s="187"/>
      <c r="CW6" s="187"/>
      <c r="CX6" s="187"/>
      <c r="CY6" s="236"/>
      <c r="CZ6" s="236"/>
      <c r="DA6" s="236"/>
      <c r="DB6" s="236"/>
      <c r="DC6" s="236"/>
      <c r="DD6" s="236"/>
      <c r="DE6" s="247"/>
      <c r="DF6" s="247"/>
      <c r="DG6" s="247"/>
      <c r="DH6" s="247"/>
      <c r="DI6" s="247"/>
      <c r="DJ6" s="247"/>
      <c r="DK6" s="247"/>
      <c r="DL6" s="247"/>
      <c r="DR6" s="247"/>
    </row>
    <row r="7" spans="2:124" ht="19.5" customHeight="1" thickBot="1" x14ac:dyDescent="0.35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R7" s="19"/>
      <c r="DS7" s="19"/>
      <c r="DT7" s="19"/>
    </row>
    <row r="8" spans="2:124" ht="19.5" customHeight="1" x14ac:dyDescent="0.3">
      <c r="B8" s="41" t="s">
        <v>0</v>
      </c>
      <c r="C8" s="42"/>
      <c r="D8" s="43" t="s">
        <v>1</v>
      </c>
      <c r="E8" s="43"/>
      <c r="F8" s="43" t="s">
        <v>2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 t="s">
        <v>3</v>
      </c>
      <c r="V8" s="43"/>
      <c r="W8" s="43"/>
      <c r="X8" s="43"/>
      <c r="Y8" s="43"/>
      <c r="Z8" s="43"/>
      <c r="AA8" s="43"/>
      <c r="AB8" s="43"/>
      <c r="AC8" s="44" t="s">
        <v>4</v>
      </c>
      <c r="AD8" s="45"/>
      <c r="AE8" s="45"/>
      <c r="AF8" s="45"/>
      <c r="AG8" s="45"/>
      <c r="AH8" s="46"/>
      <c r="AI8" s="47" t="s">
        <v>5</v>
      </c>
      <c r="AJ8" s="48"/>
      <c r="AK8" s="48"/>
      <c r="AL8" s="48"/>
      <c r="AM8" s="48"/>
      <c r="AN8" s="49"/>
      <c r="AO8" s="44" t="s">
        <v>6</v>
      </c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50"/>
      <c r="BA8" s="4"/>
      <c r="BB8" s="4"/>
      <c r="BC8" s="100" t="s">
        <v>1</v>
      </c>
      <c r="BD8" s="100"/>
      <c r="BE8" s="97" t="s">
        <v>7</v>
      </c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 t="s">
        <v>8</v>
      </c>
      <c r="CA8" s="97"/>
      <c r="CB8" s="97"/>
      <c r="CC8" s="97"/>
      <c r="CD8" s="97" t="s">
        <v>9</v>
      </c>
      <c r="CE8" s="97"/>
      <c r="CF8" s="97"/>
      <c r="CG8" s="97"/>
      <c r="CH8" s="97"/>
      <c r="CI8" s="97" t="s">
        <v>10</v>
      </c>
      <c r="CJ8" s="97"/>
      <c r="CK8" s="97"/>
      <c r="CL8" s="97"/>
      <c r="CM8" s="97"/>
      <c r="CN8" s="97" t="s">
        <v>11</v>
      </c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4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R8" s="3"/>
      <c r="DS8" s="3"/>
      <c r="DT8" s="3"/>
    </row>
    <row r="9" spans="2:124" ht="19.5" customHeight="1" x14ac:dyDescent="0.3">
      <c r="B9" s="51"/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4" t="s">
        <v>12</v>
      </c>
      <c r="AD9" s="55"/>
      <c r="AE9" s="56" t="s">
        <v>13</v>
      </c>
      <c r="AF9" s="55"/>
      <c r="AG9" s="56" t="s">
        <v>14</v>
      </c>
      <c r="AH9" s="54"/>
      <c r="AI9" s="57" t="s">
        <v>12</v>
      </c>
      <c r="AJ9" s="58"/>
      <c r="AK9" s="59" t="s">
        <v>13</v>
      </c>
      <c r="AL9" s="58"/>
      <c r="AM9" s="59" t="s">
        <v>14</v>
      </c>
      <c r="AN9" s="60"/>
      <c r="AO9" s="61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3"/>
      <c r="BA9" s="4"/>
      <c r="BB9" s="4"/>
      <c r="BC9" s="100"/>
      <c r="BD9" s="100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4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R9" s="3"/>
      <c r="DS9" s="3"/>
      <c r="DT9" s="3"/>
    </row>
    <row r="10" spans="2:124" ht="19.5" customHeight="1" thickBot="1" x14ac:dyDescent="0.35">
      <c r="B10" s="64"/>
      <c r="C10" s="65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7"/>
      <c r="AD10" s="68"/>
      <c r="AE10" s="69"/>
      <c r="AF10" s="68"/>
      <c r="AG10" s="69"/>
      <c r="AH10" s="67"/>
      <c r="AI10" s="70"/>
      <c r="AJ10" s="71"/>
      <c r="AK10" s="72"/>
      <c r="AL10" s="71"/>
      <c r="AM10" s="72"/>
      <c r="AN10" s="73"/>
      <c r="AO10" s="71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5"/>
      <c r="BA10" s="4"/>
      <c r="BB10" s="4"/>
      <c r="BC10" s="100"/>
      <c r="BD10" s="100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4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R10" s="3"/>
      <c r="DS10" s="3"/>
      <c r="DT10" s="3"/>
    </row>
    <row r="11" spans="2:124" ht="19.5" customHeight="1" x14ac:dyDescent="0.3">
      <c r="B11" s="20">
        <v>1</v>
      </c>
      <c r="C11" s="21"/>
      <c r="D11" s="22" t="s">
        <v>15</v>
      </c>
      <c r="E11" s="2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3"/>
      <c r="V11" s="253"/>
      <c r="W11" s="253"/>
      <c r="X11" s="253"/>
      <c r="Y11" s="253"/>
      <c r="Z11" s="253"/>
      <c r="AA11" s="253"/>
      <c r="AB11" s="253"/>
      <c r="AC11" s="254"/>
      <c r="AD11" s="255"/>
      <c r="AE11" s="256"/>
      <c r="AF11" s="255"/>
      <c r="AG11" s="256"/>
      <c r="AH11" s="257"/>
      <c r="AI11" s="254"/>
      <c r="AJ11" s="255"/>
      <c r="AK11" s="256"/>
      <c r="AL11" s="255"/>
      <c r="AM11" s="256"/>
      <c r="AN11" s="258"/>
      <c r="AO11" s="259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1"/>
      <c r="BA11" s="4"/>
      <c r="BB11" s="4"/>
      <c r="BC11" s="101" t="str">
        <f t="shared" ref="BC11" si="2">$D$11</f>
        <v>Ubicación de la Unidad de Producción</v>
      </c>
      <c r="BD11" s="101"/>
      <c r="BE11" s="98">
        <v>1</v>
      </c>
      <c r="BF11" s="336"/>
      <c r="BG11" s="336"/>
      <c r="BH11" s="336"/>
      <c r="BI11" s="336"/>
      <c r="BJ11" s="336"/>
      <c r="BK11" s="336"/>
      <c r="BL11" s="336"/>
      <c r="BM11" s="336"/>
      <c r="BN11" s="336"/>
      <c r="BO11" s="336"/>
      <c r="BP11" s="336"/>
      <c r="BQ11" s="336"/>
      <c r="BR11" s="336"/>
      <c r="BS11" s="336"/>
      <c r="BT11" s="336"/>
      <c r="BU11" s="336"/>
      <c r="BV11" s="336"/>
      <c r="BW11" s="336"/>
      <c r="BX11" s="336"/>
      <c r="BY11" s="336"/>
      <c r="BZ11" s="337"/>
      <c r="CA11" s="337"/>
      <c r="CB11" s="337"/>
      <c r="CC11" s="337"/>
      <c r="CD11" s="338"/>
      <c r="CE11" s="338"/>
      <c r="CF11" s="338"/>
      <c r="CG11" s="338"/>
      <c r="CH11" s="338"/>
      <c r="CI11" s="339"/>
      <c r="CJ11" s="339"/>
      <c r="CK11" s="339"/>
      <c r="CL11" s="339"/>
      <c r="CM11" s="339"/>
      <c r="CN11" s="340"/>
      <c r="CO11" s="341"/>
      <c r="CP11" s="341"/>
      <c r="CQ11" s="341"/>
      <c r="CR11" s="341"/>
      <c r="CS11" s="341"/>
      <c r="CT11" s="341"/>
      <c r="CU11" s="341"/>
      <c r="CV11" s="341"/>
      <c r="CW11" s="341"/>
      <c r="CX11" s="341"/>
      <c r="CY11" s="4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R11" s="3"/>
      <c r="DS11" s="3"/>
      <c r="DT11" s="3"/>
    </row>
    <row r="12" spans="2:124" ht="19.5" customHeight="1" x14ac:dyDescent="0.3">
      <c r="B12" s="20"/>
      <c r="C12" s="21"/>
      <c r="D12" s="22"/>
      <c r="E12" s="2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62"/>
      <c r="V12" s="262"/>
      <c r="W12" s="262"/>
      <c r="X12" s="262"/>
      <c r="Y12" s="262"/>
      <c r="Z12" s="262"/>
      <c r="AA12" s="262"/>
      <c r="AB12" s="262"/>
      <c r="AC12" s="263"/>
      <c r="AD12" s="264"/>
      <c r="AE12" s="265"/>
      <c r="AF12" s="264"/>
      <c r="AG12" s="265"/>
      <c r="AH12" s="266"/>
      <c r="AI12" s="263"/>
      <c r="AJ12" s="264"/>
      <c r="AK12" s="265"/>
      <c r="AL12" s="264"/>
      <c r="AM12" s="265"/>
      <c r="AN12" s="267"/>
      <c r="AO12" s="268"/>
      <c r="AP12" s="269"/>
      <c r="AQ12" s="269"/>
      <c r="AR12" s="269"/>
      <c r="AS12" s="269"/>
      <c r="AT12" s="269"/>
      <c r="AU12" s="269"/>
      <c r="AV12" s="269"/>
      <c r="AW12" s="269"/>
      <c r="AX12" s="269"/>
      <c r="AY12" s="269"/>
      <c r="AZ12" s="270"/>
      <c r="BA12" s="4"/>
      <c r="BB12" s="4"/>
      <c r="BC12" s="101"/>
      <c r="BD12" s="101"/>
      <c r="BE12" s="98">
        <v>2</v>
      </c>
      <c r="BF12" s="342"/>
      <c r="BG12" s="342"/>
      <c r="BH12" s="342"/>
      <c r="BI12" s="342"/>
      <c r="BJ12" s="342"/>
      <c r="BK12" s="342"/>
      <c r="BL12" s="342"/>
      <c r="BM12" s="342"/>
      <c r="BN12" s="342"/>
      <c r="BO12" s="342"/>
      <c r="BP12" s="342"/>
      <c r="BQ12" s="342"/>
      <c r="BR12" s="342"/>
      <c r="BS12" s="342"/>
      <c r="BT12" s="342"/>
      <c r="BU12" s="342"/>
      <c r="BV12" s="342"/>
      <c r="BW12" s="342"/>
      <c r="BX12" s="342"/>
      <c r="BY12" s="342"/>
      <c r="BZ12" s="337"/>
      <c r="CA12" s="337"/>
      <c r="CB12" s="337"/>
      <c r="CC12" s="337"/>
      <c r="CD12" s="338"/>
      <c r="CE12" s="338"/>
      <c r="CF12" s="338"/>
      <c r="CG12" s="338"/>
      <c r="CH12" s="338"/>
      <c r="CI12" s="339"/>
      <c r="CJ12" s="339"/>
      <c r="CK12" s="339"/>
      <c r="CL12" s="339"/>
      <c r="CM12" s="339"/>
      <c r="CN12" s="340"/>
      <c r="CO12" s="341"/>
      <c r="CP12" s="341"/>
      <c r="CQ12" s="341"/>
      <c r="CR12" s="341"/>
      <c r="CS12" s="341"/>
      <c r="CT12" s="341"/>
      <c r="CU12" s="341"/>
      <c r="CV12" s="341"/>
      <c r="CW12" s="341"/>
      <c r="CX12" s="341"/>
      <c r="CY12" s="4"/>
      <c r="CZ12" s="3"/>
      <c r="DA12" s="3"/>
      <c r="DB12" s="3"/>
      <c r="DR12" s="3"/>
      <c r="DS12" s="3"/>
      <c r="DT12" s="3"/>
    </row>
    <row r="13" spans="2:124" ht="19.5" customHeight="1" x14ac:dyDescent="0.3">
      <c r="B13" s="20"/>
      <c r="C13" s="21"/>
      <c r="D13" s="22"/>
      <c r="E13" s="2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71"/>
      <c r="V13" s="271"/>
      <c r="W13" s="271"/>
      <c r="X13" s="271"/>
      <c r="Y13" s="271"/>
      <c r="Z13" s="271"/>
      <c r="AA13" s="271"/>
      <c r="AB13" s="271"/>
      <c r="AC13" s="272"/>
      <c r="AD13" s="273"/>
      <c r="AE13" s="274"/>
      <c r="AF13" s="273"/>
      <c r="AG13" s="274"/>
      <c r="AH13" s="275"/>
      <c r="AI13" s="272"/>
      <c r="AJ13" s="273"/>
      <c r="AK13" s="274"/>
      <c r="AL13" s="273"/>
      <c r="AM13" s="274"/>
      <c r="AN13" s="276"/>
      <c r="AO13" s="268"/>
      <c r="AP13" s="269"/>
      <c r="AQ13" s="269"/>
      <c r="AR13" s="269"/>
      <c r="AS13" s="269"/>
      <c r="AT13" s="269"/>
      <c r="AU13" s="269"/>
      <c r="AV13" s="269"/>
      <c r="AW13" s="269"/>
      <c r="AX13" s="269"/>
      <c r="AY13" s="269"/>
      <c r="AZ13" s="270"/>
      <c r="BA13" s="4"/>
      <c r="BB13" s="4"/>
      <c r="BC13" s="101"/>
      <c r="BD13" s="101"/>
      <c r="BE13" s="98">
        <v>3</v>
      </c>
      <c r="BF13" s="342"/>
      <c r="BG13" s="342"/>
      <c r="BH13" s="342"/>
      <c r="BI13" s="342"/>
      <c r="BJ13" s="342"/>
      <c r="BK13" s="342"/>
      <c r="BL13" s="342"/>
      <c r="BM13" s="342"/>
      <c r="BN13" s="342"/>
      <c r="BO13" s="342"/>
      <c r="BP13" s="342"/>
      <c r="BQ13" s="342"/>
      <c r="BR13" s="342"/>
      <c r="BS13" s="342"/>
      <c r="BT13" s="342"/>
      <c r="BU13" s="342"/>
      <c r="BV13" s="342"/>
      <c r="BW13" s="342"/>
      <c r="BX13" s="342"/>
      <c r="BY13" s="342"/>
      <c r="BZ13" s="337"/>
      <c r="CA13" s="337"/>
      <c r="CB13" s="337"/>
      <c r="CC13" s="337"/>
      <c r="CD13" s="338"/>
      <c r="CE13" s="338"/>
      <c r="CF13" s="338"/>
      <c r="CG13" s="338"/>
      <c r="CH13" s="338"/>
      <c r="CI13" s="339"/>
      <c r="CJ13" s="339"/>
      <c r="CK13" s="339"/>
      <c r="CL13" s="339"/>
      <c r="CM13" s="339"/>
      <c r="CN13" s="340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4"/>
    </row>
    <row r="14" spans="2:124" ht="19.5" customHeight="1" x14ac:dyDescent="0.3">
      <c r="B14" s="20"/>
      <c r="C14" s="21"/>
      <c r="D14" s="22"/>
      <c r="E14" s="2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62"/>
      <c r="V14" s="262"/>
      <c r="W14" s="262"/>
      <c r="X14" s="262"/>
      <c r="Y14" s="262"/>
      <c r="Z14" s="262"/>
      <c r="AA14" s="262"/>
      <c r="AB14" s="262"/>
      <c r="AC14" s="263"/>
      <c r="AD14" s="264"/>
      <c r="AE14" s="265"/>
      <c r="AF14" s="264"/>
      <c r="AG14" s="265"/>
      <c r="AH14" s="266"/>
      <c r="AI14" s="263"/>
      <c r="AJ14" s="264"/>
      <c r="AK14" s="265"/>
      <c r="AL14" s="264"/>
      <c r="AM14" s="265"/>
      <c r="AN14" s="267"/>
      <c r="AO14" s="268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70"/>
      <c r="BA14" s="4"/>
      <c r="BB14" s="4"/>
      <c r="BC14" s="101"/>
      <c r="BD14" s="101"/>
      <c r="BE14" s="98">
        <v>4</v>
      </c>
      <c r="BF14" s="342"/>
      <c r="BG14" s="342"/>
      <c r="BH14" s="342"/>
      <c r="BI14" s="342"/>
      <c r="BJ14" s="342"/>
      <c r="BK14" s="342"/>
      <c r="BL14" s="342"/>
      <c r="BM14" s="342"/>
      <c r="BN14" s="342"/>
      <c r="BO14" s="342"/>
      <c r="BP14" s="342"/>
      <c r="BQ14" s="342"/>
      <c r="BR14" s="342"/>
      <c r="BS14" s="342"/>
      <c r="BT14" s="342"/>
      <c r="BU14" s="342"/>
      <c r="BV14" s="342"/>
      <c r="BW14" s="342"/>
      <c r="BX14" s="342"/>
      <c r="BY14" s="342"/>
      <c r="BZ14" s="337"/>
      <c r="CA14" s="337"/>
      <c r="CB14" s="337"/>
      <c r="CC14" s="337"/>
      <c r="CD14" s="338"/>
      <c r="CE14" s="338"/>
      <c r="CF14" s="338"/>
      <c r="CG14" s="338"/>
      <c r="CH14" s="338"/>
      <c r="CI14" s="339"/>
      <c r="CJ14" s="339"/>
      <c r="CK14" s="339"/>
      <c r="CL14" s="339"/>
      <c r="CM14" s="339"/>
      <c r="CN14" s="340"/>
      <c r="CO14" s="336"/>
      <c r="CP14" s="336"/>
      <c r="CQ14" s="336"/>
      <c r="CR14" s="336"/>
      <c r="CS14" s="336"/>
      <c r="CT14" s="336"/>
      <c r="CU14" s="336"/>
      <c r="CV14" s="336"/>
      <c r="CW14" s="336"/>
      <c r="CX14" s="336"/>
      <c r="CY14" s="4"/>
    </row>
    <row r="15" spans="2:124" ht="19.5" customHeight="1" x14ac:dyDescent="0.3">
      <c r="B15" s="20"/>
      <c r="C15" s="21"/>
      <c r="D15" s="22"/>
      <c r="E15" s="2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71"/>
      <c r="V15" s="271"/>
      <c r="W15" s="271"/>
      <c r="X15" s="271"/>
      <c r="Y15" s="271"/>
      <c r="Z15" s="271"/>
      <c r="AA15" s="271"/>
      <c r="AB15" s="271"/>
      <c r="AC15" s="272"/>
      <c r="AD15" s="273"/>
      <c r="AE15" s="274"/>
      <c r="AF15" s="273"/>
      <c r="AG15" s="274"/>
      <c r="AH15" s="275"/>
      <c r="AI15" s="272"/>
      <c r="AJ15" s="273"/>
      <c r="AK15" s="274"/>
      <c r="AL15" s="273"/>
      <c r="AM15" s="274"/>
      <c r="AN15" s="276"/>
      <c r="AO15" s="268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70"/>
      <c r="BA15" s="4"/>
      <c r="BB15" s="4"/>
      <c r="BC15" s="101"/>
      <c r="BD15" s="101"/>
      <c r="BE15" s="98">
        <v>5</v>
      </c>
      <c r="BF15" s="342"/>
      <c r="BG15" s="342"/>
      <c r="BH15" s="342"/>
      <c r="BI15" s="342"/>
      <c r="BJ15" s="342"/>
      <c r="BK15" s="342"/>
      <c r="BL15" s="342"/>
      <c r="BM15" s="342"/>
      <c r="BN15" s="342"/>
      <c r="BO15" s="342"/>
      <c r="BP15" s="342"/>
      <c r="BQ15" s="342"/>
      <c r="BR15" s="342"/>
      <c r="BS15" s="342"/>
      <c r="BT15" s="342"/>
      <c r="BU15" s="342"/>
      <c r="BV15" s="342"/>
      <c r="BW15" s="342"/>
      <c r="BX15" s="342"/>
      <c r="BY15" s="342"/>
      <c r="BZ15" s="337"/>
      <c r="CA15" s="337"/>
      <c r="CB15" s="337"/>
      <c r="CC15" s="337"/>
      <c r="CD15" s="338"/>
      <c r="CE15" s="338"/>
      <c r="CF15" s="338"/>
      <c r="CG15" s="338"/>
      <c r="CH15" s="338"/>
      <c r="CI15" s="339"/>
      <c r="CJ15" s="339"/>
      <c r="CK15" s="339"/>
      <c r="CL15" s="339"/>
      <c r="CM15" s="339"/>
      <c r="CN15" s="340"/>
      <c r="CO15" s="336"/>
      <c r="CP15" s="336"/>
      <c r="CQ15" s="336"/>
      <c r="CR15" s="336"/>
      <c r="CS15" s="336"/>
      <c r="CT15" s="336"/>
      <c r="CU15" s="336"/>
      <c r="CV15" s="336"/>
      <c r="CW15" s="336"/>
      <c r="CX15" s="336"/>
      <c r="CY15" s="4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R15" s="3"/>
      <c r="DS15" s="3"/>
      <c r="DT15" s="3"/>
    </row>
    <row r="16" spans="2:124" ht="19.5" customHeight="1" thickBot="1" x14ac:dyDescent="0.35">
      <c r="B16" s="23"/>
      <c r="C16" s="24"/>
      <c r="D16" s="25"/>
      <c r="E16" s="25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8"/>
      <c r="V16" s="278"/>
      <c r="W16" s="278"/>
      <c r="X16" s="278"/>
      <c r="Y16" s="278"/>
      <c r="Z16" s="278"/>
      <c r="AA16" s="278"/>
      <c r="AB16" s="278"/>
      <c r="AC16" s="279"/>
      <c r="AD16" s="280"/>
      <c r="AE16" s="281"/>
      <c r="AF16" s="280"/>
      <c r="AG16" s="281"/>
      <c r="AH16" s="282"/>
      <c r="AI16" s="279"/>
      <c r="AJ16" s="280"/>
      <c r="AK16" s="281"/>
      <c r="AL16" s="280"/>
      <c r="AM16" s="281"/>
      <c r="AN16" s="283"/>
      <c r="AO16" s="284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6"/>
      <c r="BA16" s="4"/>
      <c r="BB16" s="4"/>
      <c r="BC16" s="101"/>
      <c r="BD16" s="101"/>
      <c r="BE16" s="98">
        <v>6</v>
      </c>
      <c r="BF16" s="342"/>
      <c r="BG16" s="342"/>
      <c r="BH16" s="342"/>
      <c r="BI16" s="342"/>
      <c r="BJ16" s="342"/>
      <c r="BK16" s="342"/>
      <c r="BL16" s="342"/>
      <c r="BM16" s="342"/>
      <c r="BN16" s="342"/>
      <c r="BO16" s="342"/>
      <c r="BP16" s="342"/>
      <c r="BQ16" s="342"/>
      <c r="BR16" s="342"/>
      <c r="BS16" s="342"/>
      <c r="BT16" s="342"/>
      <c r="BU16" s="342"/>
      <c r="BV16" s="342"/>
      <c r="BW16" s="342"/>
      <c r="BX16" s="342"/>
      <c r="BY16" s="342"/>
      <c r="BZ16" s="337"/>
      <c r="CA16" s="337"/>
      <c r="CB16" s="337"/>
      <c r="CC16" s="337"/>
      <c r="CD16" s="338"/>
      <c r="CE16" s="338"/>
      <c r="CF16" s="338"/>
      <c r="CG16" s="338"/>
      <c r="CH16" s="338"/>
      <c r="CI16" s="339"/>
      <c r="CJ16" s="339"/>
      <c r="CK16" s="339"/>
      <c r="CL16" s="339"/>
      <c r="CM16" s="339"/>
      <c r="CN16" s="340"/>
      <c r="CO16" s="343"/>
      <c r="CP16" s="343"/>
      <c r="CQ16" s="343"/>
      <c r="CR16" s="343"/>
      <c r="CS16" s="343"/>
      <c r="CT16" s="343"/>
      <c r="CU16" s="343"/>
      <c r="CV16" s="343"/>
      <c r="CW16" s="343"/>
      <c r="CX16" s="343"/>
      <c r="CY16" s="4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R16" s="3"/>
      <c r="DS16" s="3"/>
      <c r="DT16" s="3"/>
    </row>
    <row r="17" spans="2:124" ht="19.5" customHeight="1" x14ac:dyDescent="0.3">
      <c r="B17" s="76">
        <v>2</v>
      </c>
      <c r="C17" s="77"/>
      <c r="D17" s="78" t="s">
        <v>16</v>
      </c>
      <c r="E17" s="78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53"/>
      <c r="V17" s="253"/>
      <c r="W17" s="253"/>
      <c r="X17" s="253"/>
      <c r="Y17" s="253"/>
      <c r="Z17" s="253"/>
      <c r="AA17" s="253"/>
      <c r="AB17" s="253"/>
      <c r="AC17" s="254"/>
      <c r="AD17" s="255"/>
      <c r="AE17" s="256"/>
      <c r="AF17" s="255"/>
      <c r="AG17" s="256"/>
      <c r="AH17" s="257"/>
      <c r="AI17" s="254"/>
      <c r="AJ17" s="255"/>
      <c r="AK17" s="256"/>
      <c r="AL17" s="255"/>
      <c r="AM17" s="256"/>
      <c r="AN17" s="258"/>
      <c r="AO17" s="259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1"/>
      <c r="BA17" s="4"/>
      <c r="BB17" s="4"/>
      <c r="BC17" s="102" t="str">
        <f t="shared" ref="BC17" si="3">$D$17</f>
        <v>Historial del Terreno e Historial Productivo</v>
      </c>
      <c r="BD17" s="102"/>
      <c r="BE17" s="99">
        <v>1</v>
      </c>
      <c r="BF17" s="342"/>
      <c r="BG17" s="342"/>
      <c r="BH17" s="342"/>
      <c r="BI17" s="342"/>
      <c r="BJ17" s="342"/>
      <c r="BK17" s="342"/>
      <c r="BL17" s="342"/>
      <c r="BM17" s="342"/>
      <c r="BN17" s="342"/>
      <c r="BO17" s="342"/>
      <c r="BP17" s="342"/>
      <c r="BQ17" s="342"/>
      <c r="BR17" s="342"/>
      <c r="BS17" s="342"/>
      <c r="BT17" s="342"/>
      <c r="BU17" s="342"/>
      <c r="BV17" s="342"/>
      <c r="BW17" s="342"/>
      <c r="BX17" s="342"/>
      <c r="BY17" s="342"/>
      <c r="BZ17" s="337"/>
      <c r="CA17" s="337"/>
      <c r="CB17" s="337"/>
      <c r="CC17" s="337"/>
      <c r="CD17" s="339"/>
      <c r="CE17" s="339"/>
      <c r="CF17" s="339"/>
      <c r="CG17" s="339"/>
      <c r="CH17" s="339"/>
      <c r="CI17" s="339"/>
      <c r="CJ17" s="339"/>
      <c r="CK17" s="339"/>
      <c r="CL17" s="339"/>
      <c r="CM17" s="339"/>
      <c r="CN17" s="340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4"/>
      <c r="CZ17" s="3"/>
      <c r="DA17" s="3"/>
      <c r="DB17" s="3"/>
      <c r="DC17" s="3"/>
      <c r="DD17" s="3"/>
      <c r="DE17" s="3"/>
      <c r="DF17" s="3"/>
      <c r="DG17" s="3"/>
      <c r="DH17" s="3"/>
    </row>
    <row r="18" spans="2:124" ht="19.2" customHeight="1" x14ac:dyDescent="0.3">
      <c r="B18" s="79"/>
      <c r="C18" s="80"/>
      <c r="D18" s="81"/>
      <c r="E18" s="81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62"/>
      <c r="V18" s="262"/>
      <c r="W18" s="262"/>
      <c r="X18" s="262"/>
      <c r="Y18" s="262"/>
      <c r="Z18" s="262"/>
      <c r="AA18" s="262"/>
      <c r="AB18" s="262"/>
      <c r="AC18" s="263"/>
      <c r="AD18" s="264"/>
      <c r="AE18" s="265"/>
      <c r="AF18" s="264"/>
      <c r="AG18" s="265"/>
      <c r="AH18" s="266"/>
      <c r="AI18" s="263"/>
      <c r="AJ18" s="264"/>
      <c r="AK18" s="265"/>
      <c r="AL18" s="264"/>
      <c r="AM18" s="265"/>
      <c r="AN18" s="267"/>
      <c r="AO18" s="268"/>
      <c r="AP18" s="269"/>
      <c r="AQ18" s="269"/>
      <c r="AR18" s="269"/>
      <c r="AS18" s="269"/>
      <c r="AT18" s="269"/>
      <c r="AU18" s="269"/>
      <c r="AV18" s="269"/>
      <c r="AW18" s="269"/>
      <c r="AX18" s="269"/>
      <c r="AY18" s="269"/>
      <c r="AZ18" s="270"/>
      <c r="BA18" s="4"/>
      <c r="BB18" s="4"/>
      <c r="BC18" s="102"/>
      <c r="BD18" s="102"/>
      <c r="BE18" s="99">
        <v>2</v>
      </c>
      <c r="BF18" s="342"/>
      <c r="BG18" s="342"/>
      <c r="BH18" s="342"/>
      <c r="BI18" s="342"/>
      <c r="BJ18" s="342"/>
      <c r="BK18" s="342"/>
      <c r="BL18" s="342"/>
      <c r="BM18" s="342"/>
      <c r="BN18" s="342"/>
      <c r="BO18" s="342"/>
      <c r="BP18" s="342"/>
      <c r="BQ18" s="342"/>
      <c r="BR18" s="342"/>
      <c r="BS18" s="342"/>
      <c r="BT18" s="342"/>
      <c r="BU18" s="342"/>
      <c r="BV18" s="342"/>
      <c r="BW18" s="342"/>
      <c r="BX18" s="342"/>
      <c r="BY18" s="342"/>
      <c r="BZ18" s="337"/>
      <c r="CA18" s="337"/>
      <c r="CB18" s="337"/>
      <c r="CC18" s="337"/>
      <c r="CD18" s="339"/>
      <c r="CE18" s="339"/>
      <c r="CF18" s="339"/>
      <c r="CG18" s="339"/>
      <c r="CH18" s="339"/>
      <c r="CI18" s="339"/>
      <c r="CJ18" s="339"/>
      <c r="CK18" s="339"/>
      <c r="CL18" s="339"/>
      <c r="CM18" s="339"/>
      <c r="CN18" s="340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4"/>
      <c r="CZ18" s="3"/>
      <c r="DA18" s="3"/>
      <c r="DB18" s="3"/>
      <c r="DC18" s="3"/>
      <c r="DD18" s="3"/>
      <c r="DE18" s="3"/>
      <c r="DF18" s="3"/>
      <c r="DG18" s="3"/>
      <c r="DH18" s="3"/>
    </row>
    <row r="19" spans="2:124" ht="19.5" customHeight="1" x14ac:dyDescent="0.3">
      <c r="B19" s="79"/>
      <c r="C19" s="80"/>
      <c r="D19" s="81"/>
      <c r="E19" s="81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88"/>
      <c r="V19" s="289"/>
      <c r="W19" s="289"/>
      <c r="X19" s="289"/>
      <c r="Y19" s="289"/>
      <c r="Z19" s="289"/>
      <c r="AA19" s="289"/>
      <c r="AB19" s="290"/>
      <c r="AC19" s="272"/>
      <c r="AD19" s="273"/>
      <c r="AE19" s="274"/>
      <c r="AF19" s="273"/>
      <c r="AG19" s="274"/>
      <c r="AH19" s="275"/>
      <c r="AI19" s="272"/>
      <c r="AJ19" s="273"/>
      <c r="AK19" s="274"/>
      <c r="AL19" s="273"/>
      <c r="AM19" s="274"/>
      <c r="AN19" s="276"/>
      <c r="AO19" s="268"/>
      <c r="AP19" s="269"/>
      <c r="AQ19" s="269"/>
      <c r="AR19" s="269"/>
      <c r="AS19" s="269"/>
      <c r="AT19" s="269"/>
      <c r="AU19" s="269"/>
      <c r="AV19" s="269"/>
      <c r="AW19" s="269"/>
      <c r="AX19" s="269"/>
      <c r="AY19" s="269"/>
      <c r="AZ19" s="270"/>
      <c r="BA19" s="4"/>
      <c r="BB19" s="4"/>
      <c r="BC19" s="102"/>
      <c r="BD19" s="102"/>
      <c r="BE19" s="99">
        <v>3</v>
      </c>
      <c r="BF19" s="342"/>
      <c r="BG19" s="342"/>
      <c r="BH19" s="342"/>
      <c r="BI19" s="342"/>
      <c r="BJ19" s="342"/>
      <c r="BK19" s="342"/>
      <c r="BL19" s="342"/>
      <c r="BM19" s="342"/>
      <c r="BN19" s="342"/>
      <c r="BO19" s="342"/>
      <c r="BP19" s="342"/>
      <c r="BQ19" s="342"/>
      <c r="BR19" s="342"/>
      <c r="BS19" s="342"/>
      <c r="BT19" s="342"/>
      <c r="BU19" s="342"/>
      <c r="BV19" s="342"/>
      <c r="BW19" s="342"/>
      <c r="BX19" s="342"/>
      <c r="BY19" s="342"/>
      <c r="BZ19" s="337"/>
      <c r="CA19" s="337"/>
      <c r="CB19" s="337"/>
      <c r="CC19" s="337"/>
      <c r="CD19" s="339"/>
      <c r="CE19" s="339"/>
      <c r="CF19" s="339"/>
      <c r="CG19" s="339"/>
      <c r="CH19" s="339"/>
      <c r="CI19" s="339"/>
      <c r="CJ19" s="339"/>
      <c r="CK19" s="339"/>
      <c r="CL19" s="339"/>
      <c r="CM19" s="339"/>
      <c r="CN19" s="340"/>
      <c r="CO19" s="341"/>
      <c r="CP19" s="341"/>
      <c r="CQ19" s="341"/>
      <c r="CR19" s="341"/>
      <c r="CS19" s="341"/>
      <c r="CT19" s="341"/>
      <c r="CU19" s="341"/>
      <c r="CV19" s="341"/>
      <c r="CW19" s="341"/>
      <c r="CX19" s="341"/>
      <c r="CY19" s="4"/>
      <c r="CZ19" s="3"/>
      <c r="DA19" s="3"/>
      <c r="DB19" s="3"/>
      <c r="DC19" s="3"/>
      <c r="DD19" s="3"/>
      <c r="DE19" s="3"/>
      <c r="DF19" s="3"/>
      <c r="DG19" s="3"/>
      <c r="DH19" s="3"/>
    </row>
    <row r="20" spans="2:124" ht="19.5" customHeight="1" x14ac:dyDescent="0.3">
      <c r="B20" s="79"/>
      <c r="C20" s="80"/>
      <c r="D20" s="81"/>
      <c r="E20" s="81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91"/>
      <c r="V20" s="292"/>
      <c r="W20" s="292"/>
      <c r="X20" s="292"/>
      <c r="Y20" s="292"/>
      <c r="Z20" s="292"/>
      <c r="AA20" s="292"/>
      <c r="AB20" s="293"/>
      <c r="AC20" s="263"/>
      <c r="AD20" s="264"/>
      <c r="AE20" s="265"/>
      <c r="AF20" s="264"/>
      <c r="AG20" s="265"/>
      <c r="AH20" s="266"/>
      <c r="AI20" s="263"/>
      <c r="AJ20" s="264"/>
      <c r="AK20" s="265"/>
      <c r="AL20" s="264"/>
      <c r="AM20" s="265"/>
      <c r="AN20" s="267"/>
      <c r="AO20" s="268"/>
      <c r="AP20" s="269"/>
      <c r="AQ20" s="269"/>
      <c r="AR20" s="269"/>
      <c r="AS20" s="269"/>
      <c r="AT20" s="269"/>
      <c r="AU20" s="269"/>
      <c r="AV20" s="269"/>
      <c r="AW20" s="269"/>
      <c r="AX20" s="269"/>
      <c r="AY20" s="269"/>
      <c r="AZ20" s="270"/>
      <c r="BA20" s="4"/>
      <c r="BB20" s="4"/>
      <c r="BC20" s="102"/>
      <c r="BD20" s="102"/>
      <c r="BE20" s="99">
        <v>4</v>
      </c>
      <c r="BF20" s="342"/>
      <c r="BG20" s="342"/>
      <c r="BH20" s="342"/>
      <c r="BI20" s="342"/>
      <c r="BJ20" s="342"/>
      <c r="BK20" s="342"/>
      <c r="BL20" s="342"/>
      <c r="BM20" s="342"/>
      <c r="BN20" s="342"/>
      <c r="BO20" s="342"/>
      <c r="BP20" s="342"/>
      <c r="BQ20" s="342"/>
      <c r="BR20" s="342"/>
      <c r="BS20" s="342"/>
      <c r="BT20" s="342"/>
      <c r="BU20" s="342"/>
      <c r="BV20" s="342"/>
      <c r="BW20" s="342"/>
      <c r="BX20" s="342"/>
      <c r="BY20" s="342"/>
      <c r="BZ20" s="337"/>
      <c r="CA20" s="337"/>
      <c r="CB20" s="337"/>
      <c r="CC20" s="337"/>
      <c r="CD20" s="339"/>
      <c r="CE20" s="339"/>
      <c r="CF20" s="339"/>
      <c r="CG20" s="339"/>
      <c r="CH20" s="339"/>
      <c r="CI20" s="339"/>
      <c r="CJ20" s="339"/>
      <c r="CK20" s="339"/>
      <c r="CL20" s="339"/>
      <c r="CM20" s="339"/>
      <c r="CN20" s="340"/>
      <c r="CO20" s="336"/>
      <c r="CP20" s="336"/>
      <c r="CQ20" s="336"/>
      <c r="CR20" s="336"/>
      <c r="CS20" s="336"/>
      <c r="CT20" s="336"/>
      <c r="CU20" s="336"/>
      <c r="CV20" s="336"/>
      <c r="CW20" s="336"/>
      <c r="CX20" s="336"/>
      <c r="CY20" s="4"/>
      <c r="CZ20" s="3"/>
      <c r="DA20" s="3"/>
      <c r="DB20" s="3"/>
      <c r="DC20" s="3"/>
      <c r="DD20" s="3"/>
      <c r="DE20" s="3"/>
      <c r="DF20" s="3"/>
      <c r="DG20" s="3"/>
      <c r="DH20" s="3"/>
    </row>
    <row r="21" spans="2:124" ht="19.5" customHeight="1" x14ac:dyDescent="0.3">
      <c r="B21" s="79"/>
      <c r="C21" s="80"/>
      <c r="D21" s="81"/>
      <c r="E21" s="81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94"/>
      <c r="V21" s="295"/>
      <c r="W21" s="295"/>
      <c r="X21" s="295"/>
      <c r="Y21" s="295"/>
      <c r="Z21" s="295"/>
      <c r="AA21" s="295"/>
      <c r="AB21" s="296"/>
      <c r="AC21" s="272"/>
      <c r="AD21" s="273"/>
      <c r="AE21" s="274"/>
      <c r="AF21" s="273"/>
      <c r="AG21" s="274"/>
      <c r="AH21" s="275"/>
      <c r="AI21" s="272"/>
      <c r="AJ21" s="273"/>
      <c r="AK21" s="274"/>
      <c r="AL21" s="273"/>
      <c r="AM21" s="274"/>
      <c r="AN21" s="276"/>
      <c r="AO21" s="268"/>
      <c r="AP21" s="269"/>
      <c r="AQ21" s="269"/>
      <c r="AR21" s="269"/>
      <c r="AS21" s="269"/>
      <c r="AT21" s="269"/>
      <c r="AU21" s="269"/>
      <c r="AV21" s="269"/>
      <c r="AW21" s="269"/>
      <c r="AX21" s="269"/>
      <c r="AY21" s="269"/>
      <c r="AZ21" s="270"/>
      <c r="BA21" s="4"/>
      <c r="BB21" s="4"/>
      <c r="BC21" s="102"/>
      <c r="BD21" s="102"/>
      <c r="BE21" s="99">
        <v>5</v>
      </c>
      <c r="BF21" s="342"/>
      <c r="BG21" s="342"/>
      <c r="BH21" s="342"/>
      <c r="BI21" s="342"/>
      <c r="BJ21" s="342"/>
      <c r="BK21" s="342"/>
      <c r="BL21" s="342"/>
      <c r="BM21" s="342"/>
      <c r="BN21" s="342"/>
      <c r="BO21" s="342"/>
      <c r="BP21" s="342"/>
      <c r="BQ21" s="342"/>
      <c r="BR21" s="342"/>
      <c r="BS21" s="342"/>
      <c r="BT21" s="342"/>
      <c r="BU21" s="342"/>
      <c r="BV21" s="342"/>
      <c r="BW21" s="342"/>
      <c r="BX21" s="342"/>
      <c r="BY21" s="342"/>
      <c r="BZ21" s="337"/>
      <c r="CA21" s="337"/>
      <c r="CB21" s="337"/>
      <c r="CC21" s="337"/>
      <c r="CD21" s="339"/>
      <c r="CE21" s="339"/>
      <c r="CF21" s="339"/>
      <c r="CG21" s="339"/>
      <c r="CH21" s="339"/>
      <c r="CI21" s="339"/>
      <c r="CJ21" s="339"/>
      <c r="CK21" s="339"/>
      <c r="CL21" s="339"/>
      <c r="CM21" s="339"/>
      <c r="CN21" s="340"/>
      <c r="CO21" s="336"/>
      <c r="CP21" s="336"/>
      <c r="CQ21" s="336"/>
      <c r="CR21" s="336"/>
      <c r="CS21" s="336"/>
      <c r="CT21" s="336"/>
      <c r="CU21" s="336"/>
      <c r="CV21" s="336"/>
      <c r="CW21" s="336"/>
      <c r="CX21" s="336"/>
      <c r="CY21" s="4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R21" s="3"/>
      <c r="DS21" s="3"/>
      <c r="DT21" s="3"/>
    </row>
    <row r="22" spans="2:124" ht="19.5" customHeight="1" thickBot="1" x14ac:dyDescent="0.35">
      <c r="B22" s="82"/>
      <c r="C22" s="83"/>
      <c r="D22" s="84"/>
      <c r="E22" s="84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97"/>
      <c r="V22" s="298"/>
      <c r="W22" s="298"/>
      <c r="X22" s="298"/>
      <c r="Y22" s="298"/>
      <c r="Z22" s="298"/>
      <c r="AA22" s="298"/>
      <c r="AB22" s="299"/>
      <c r="AC22" s="279"/>
      <c r="AD22" s="280"/>
      <c r="AE22" s="281"/>
      <c r="AF22" s="280"/>
      <c r="AG22" s="281"/>
      <c r="AH22" s="282"/>
      <c r="AI22" s="279"/>
      <c r="AJ22" s="280"/>
      <c r="AK22" s="281"/>
      <c r="AL22" s="280"/>
      <c r="AM22" s="281"/>
      <c r="AN22" s="283"/>
      <c r="AO22" s="284"/>
      <c r="AP22" s="285"/>
      <c r="AQ22" s="285"/>
      <c r="AR22" s="285"/>
      <c r="AS22" s="285"/>
      <c r="AT22" s="285"/>
      <c r="AU22" s="285"/>
      <c r="AV22" s="285"/>
      <c r="AW22" s="285"/>
      <c r="AX22" s="285"/>
      <c r="AY22" s="285"/>
      <c r="AZ22" s="286"/>
      <c r="BA22" s="4"/>
      <c r="BB22" s="4"/>
      <c r="BC22" s="102"/>
      <c r="BD22" s="102"/>
      <c r="BE22" s="99">
        <v>6</v>
      </c>
      <c r="BF22" s="342"/>
      <c r="BG22" s="342"/>
      <c r="BH22" s="342"/>
      <c r="BI22" s="342"/>
      <c r="BJ22" s="342"/>
      <c r="BK22" s="342"/>
      <c r="BL22" s="342"/>
      <c r="BM22" s="342"/>
      <c r="BN22" s="342"/>
      <c r="BO22" s="342"/>
      <c r="BP22" s="342"/>
      <c r="BQ22" s="342"/>
      <c r="BR22" s="342"/>
      <c r="BS22" s="342"/>
      <c r="BT22" s="342"/>
      <c r="BU22" s="342"/>
      <c r="BV22" s="342"/>
      <c r="BW22" s="342"/>
      <c r="BX22" s="342"/>
      <c r="BY22" s="342"/>
      <c r="BZ22" s="337"/>
      <c r="CA22" s="337"/>
      <c r="CB22" s="337"/>
      <c r="CC22" s="337"/>
      <c r="CD22" s="339"/>
      <c r="CE22" s="339"/>
      <c r="CF22" s="339"/>
      <c r="CG22" s="339"/>
      <c r="CH22" s="339"/>
      <c r="CI22" s="339"/>
      <c r="CJ22" s="339"/>
      <c r="CK22" s="339"/>
      <c r="CL22" s="339"/>
      <c r="CM22" s="339"/>
      <c r="CN22" s="340"/>
      <c r="CO22" s="343"/>
      <c r="CP22" s="343"/>
      <c r="CQ22" s="343"/>
      <c r="CR22" s="343"/>
      <c r="CS22" s="343"/>
      <c r="CT22" s="343"/>
      <c r="CU22" s="343"/>
      <c r="CV22" s="343"/>
      <c r="CW22" s="343"/>
      <c r="CX22" s="343"/>
      <c r="CY22" s="4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R22" s="3"/>
      <c r="DS22" s="3"/>
      <c r="DT22" s="3"/>
    </row>
    <row r="23" spans="2:124" ht="19.5" customHeight="1" x14ac:dyDescent="0.3">
      <c r="B23" s="26">
        <v>3</v>
      </c>
      <c r="C23" s="27"/>
      <c r="D23" s="28" t="s">
        <v>17</v>
      </c>
      <c r="E23" s="29"/>
      <c r="F23" s="259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300"/>
      <c r="U23" s="301"/>
      <c r="V23" s="302"/>
      <c r="W23" s="302"/>
      <c r="X23" s="302"/>
      <c r="Y23" s="302"/>
      <c r="Z23" s="302"/>
      <c r="AA23" s="302"/>
      <c r="AB23" s="303"/>
      <c r="AC23" s="304"/>
      <c r="AD23" s="305"/>
      <c r="AE23" s="306"/>
      <c r="AF23" s="305"/>
      <c r="AG23" s="306"/>
      <c r="AH23" s="307"/>
      <c r="AI23" s="304"/>
      <c r="AJ23" s="305"/>
      <c r="AK23" s="306"/>
      <c r="AL23" s="305"/>
      <c r="AM23" s="306"/>
      <c r="AN23" s="307"/>
      <c r="AO23" s="259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1"/>
      <c r="BA23" s="4"/>
      <c r="BB23" s="4"/>
      <c r="BC23" s="101" t="str">
        <f t="shared" ref="BC23" si="4">$D$23</f>
        <v>Colindancias de la Unidad de Producción</v>
      </c>
      <c r="BD23" s="101"/>
      <c r="BE23" s="98">
        <v>1</v>
      </c>
      <c r="BF23" s="336"/>
      <c r="BG23" s="336"/>
      <c r="BH23" s="336"/>
      <c r="BI23" s="336"/>
      <c r="BJ23" s="336"/>
      <c r="BK23" s="336"/>
      <c r="BL23" s="336"/>
      <c r="BM23" s="336"/>
      <c r="BN23" s="336"/>
      <c r="BO23" s="336"/>
      <c r="BP23" s="336"/>
      <c r="BQ23" s="336"/>
      <c r="BR23" s="336"/>
      <c r="BS23" s="336"/>
      <c r="BT23" s="336"/>
      <c r="BU23" s="336"/>
      <c r="BV23" s="336"/>
      <c r="BW23" s="336"/>
      <c r="BX23" s="336"/>
      <c r="BY23" s="336"/>
      <c r="BZ23" s="337"/>
      <c r="CA23" s="337"/>
      <c r="CB23" s="337"/>
      <c r="CC23" s="337"/>
      <c r="CD23" s="345"/>
      <c r="CE23" s="345"/>
      <c r="CF23" s="345"/>
      <c r="CG23" s="345"/>
      <c r="CH23" s="346"/>
      <c r="CI23" s="339"/>
      <c r="CJ23" s="339"/>
      <c r="CK23" s="339"/>
      <c r="CL23" s="339"/>
      <c r="CM23" s="347"/>
      <c r="CN23" s="340"/>
      <c r="CO23" s="348"/>
      <c r="CP23" s="348"/>
      <c r="CQ23" s="348"/>
      <c r="CR23" s="348"/>
      <c r="CS23" s="348"/>
      <c r="CT23" s="348"/>
      <c r="CU23" s="348"/>
      <c r="CV23" s="348"/>
      <c r="CW23" s="348"/>
      <c r="CX23" s="348"/>
      <c r="CY23" s="4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R23" s="3"/>
      <c r="DS23" s="3"/>
      <c r="DT23" s="3"/>
    </row>
    <row r="24" spans="2:124" ht="19.5" customHeight="1" x14ac:dyDescent="0.3">
      <c r="B24" s="30"/>
      <c r="C24" s="31"/>
      <c r="D24" s="32"/>
      <c r="E24" s="33"/>
      <c r="F24" s="268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308"/>
      <c r="U24" s="291"/>
      <c r="V24" s="292"/>
      <c r="W24" s="292"/>
      <c r="X24" s="292"/>
      <c r="Y24" s="292"/>
      <c r="Z24" s="292"/>
      <c r="AA24" s="292"/>
      <c r="AB24" s="293"/>
      <c r="AC24" s="309"/>
      <c r="AD24" s="274"/>
      <c r="AE24" s="275"/>
      <c r="AF24" s="274"/>
      <c r="AG24" s="275"/>
      <c r="AH24" s="310"/>
      <c r="AI24" s="309"/>
      <c r="AJ24" s="274"/>
      <c r="AK24" s="275"/>
      <c r="AL24" s="274"/>
      <c r="AM24" s="275"/>
      <c r="AN24" s="310"/>
      <c r="AO24" s="268"/>
      <c r="AP24" s="269"/>
      <c r="AQ24" s="269"/>
      <c r="AR24" s="269"/>
      <c r="AS24" s="269"/>
      <c r="AT24" s="269"/>
      <c r="AU24" s="269"/>
      <c r="AV24" s="269"/>
      <c r="AW24" s="269"/>
      <c r="AX24" s="269"/>
      <c r="AY24" s="269"/>
      <c r="AZ24" s="270"/>
      <c r="BA24" s="4"/>
      <c r="BB24" s="4"/>
      <c r="BC24" s="101"/>
      <c r="BD24" s="101"/>
      <c r="BE24" s="98">
        <v>2</v>
      </c>
      <c r="BF24" s="342"/>
      <c r="BG24" s="342"/>
      <c r="BH24" s="342"/>
      <c r="BI24" s="342"/>
      <c r="BJ24" s="342"/>
      <c r="BK24" s="342"/>
      <c r="BL24" s="342"/>
      <c r="BM24" s="342"/>
      <c r="BN24" s="342"/>
      <c r="BO24" s="342"/>
      <c r="BP24" s="342"/>
      <c r="BQ24" s="342"/>
      <c r="BR24" s="342"/>
      <c r="BS24" s="342"/>
      <c r="BT24" s="342"/>
      <c r="BU24" s="342"/>
      <c r="BV24" s="342"/>
      <c r="BW24" s="342"/>
      <c r="BX24" s="342"/>
      <c r="BY24" s="342"/>
      <c r="BZ24" s="337"/>
      <c r="CA24" s="337"/>
      <c r="CB24" s="337"/>
      <c r="CC24" s="337"/>
      <c r="CD24" s="345"/>
      <c r="CE24" s="345"/>
      <c r="CF24" s="345"/>
      <c r="CG24" s="345"/>
      <c r="CH24" s="346"/>
      <c r="CI24" s="339"/>
      <c r="CJ24" s="339"/>
      <c r="CK24" s="339"/>
      <c r="CL24" s="339"/>
      <c r="CM24" s="347"/>
      <c r="CN24" s="340"/>
      <c r="CO24" s="349"/>
      <c r="CP24" s="349"/>
      <c r="CQ24" s="349"/>
      <c r="CR24" s="349"/>
      <c r="CS24" s="349"/>
      <c r="CT24" s="349"/>
      <c r="CU24" s="349"/>
      <c r="CV24" s="349"/>
      <c r="CW24" s="349"/>
      <c r="CX24" s="349"/>
      <c r="CY24" s="4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R24" s="3"/>
      <c r="DS24" s="3"/>
      <c r="DT24" s="3"/>
    </row>
    <row r="25" spans="2:124" ht="19.5" customHeight="1" x14ac:dyDescent="0.3">
      <c r="B25" s="30"/>
      <c r="C25" s="31"/>
      <c r="D25" s="32"/>
      <c r="E25" s="33"/>
      <c r="F25" s="268"/>
      <c r="G25" s="269"/>
      <c r="H25" s="269"/>
      <c r="I25" s="269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308"/>
      <c r="U25" s="288"/>
      <c r="V25" s="289"/>
      <c r="W25" s="289"/>
      <c r="X25" s="289"/>
      <c r="Y25" s="289"/>
      <c r="Z25" s="289"/>
      <c r="AA25" s="289"/>
      <c r="AB25" s="290"/>
      <c r="AC25" s="311"/>
      <c r="AD25" s="312"/>
      <c r="AE25" s="313"/>
      <c r="AF25" s="312"/>
      <c r="AG25" s="313"/>
      <c r="AH25" s="314"/>
      <c r="AI25" s="311"/>
      <c r="AJ25" s="312"/>
      <c r="AK25" s="313"/>
      <c r="AL25" s="312"/>
      <c r="AM25" s="313"/>
      <c r="AN25" s="314"/>
      <c r="AO25" s="268"/>
      <c r="AP25" s="269"/>
      <c r="AQ25" s="269"/>
      <c r="AR25" s="269"/>
      <c r="AS25" s="269"/>
      <c r="AT25" s="269"/>
      <c r="AU25" s="269"/>
      <c r="AV25" s="269"/>
      <c r="AW25" s="269"/>
      <c r="AX25" s="269"/>
      <c r="AY25" s="269"/>
      <c r="AZ25" s="270"/>
      <c r="BA25" s="4"/>
      <c r="BB25" s="4"/>
      <c r="BC25" s="101"/>
      <c r="BD25" s="101"/>
      <c r="BE25" s="98">
        <v>3</v>
      </c>
      <c r="BF25" s="342"/>
      <c r="BG25" s="342"/>
      <c r="BH25" s="342"/>
      <c r="BI25" s="342"/>
      <c r="BJ25" s="342"/>
      <c r="BK25" s="342"/>
      <c r="BL25" s="342"/>
      <c r="BM25" s="342"/>
      <c r="BN25" s="342"/>
      <c r="BO25" s="342"/>
      <c r="BP25" s="342"/>
      <c r="BQ25" s="342"/>
      <c r="BR25" s="342"/>
      <c r="BS25" s="342"/>
      <c r="BT25" s="342"/>
      <c r="BU25" s="342"/>
      <c r="BV25" s="342"/>
      <c r="BW25" s="342"/>
      <c r="BX25" s="342"/>
      <c r="BY25" s="342"/>
      <c r="BZ25" s="337"/>
      <c r="CA25" s="337"/>
      <c r="CB25" s="337"/>
      <c r="CC25" s="337"/>
      <c r="CD25" s="345"/>
      <c r="CE25" s="345"/>
      <c r="CF25" s="345"/>
      <c r="CG25" s="345"/>
      <c r="CH25" s="346"/>
      <c r="CI25" s="339"/>
      <c r="CJ25" s="339"/>
      <c r="CK25" s="339"/>
      <c r="CL25" s="339"/>
      <c r="CM25" s="347"/>
      <c r="CN25" s="340"/>
      <c r="CO25" s="349"/>
      <c r="CP25" s="349"/>
      <c r="CQ25" s="349"/>
      <c r="CR25" s="349"/>
      <c r="CS25" s="349"/>
      <c r="CT25" s="349"/>
      <c r="CU25" s="349"/>
      <c r="CV25" s="349"/>
      <c r="CW25" s="349"/>
      <c r="CX25" s="349"/>
      <c r="CY25" s="4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R25" s="3"/>
      <c r="DS25" s="3"/>
      <c r="DT25" s="3"/>
    </row>
    <row r="26" spans="2:124" ht="19.5" customHeight="1" x14ac:dyDescent="0.3">
      <c r="B26" s="30"/>
      <c r="C26" s="31"/>
      <c r="D26" s="32"/>
      <c r="E26" s="33"/>
      <c r="F26" s="268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308"/>
      <c r="U26" s="291"/>
      <c r="V26" s="292"/>
      <c r="W26" s="292"/>
      <c r="X26" s="292"/>
      <c r="Y26" s="292"/>
      <c r="Z26" s="292"/>
      <c r="AA26" s="292"/>
      <c r="AB26" s="293"/>
      <c r="AC26" s="309"/>
      <c r="AD26" s="274"/>
      <c r="AE26" s="275"/>
      <c r="AF26" s="274"/>
      <c r="AG26" s="275"/>
      <c r="AH26" s="310"/>
      <c r="AI26" s="309"/>
      <c r="AJ26" s="274"/>
      <c r="AK26" s="275"/>
      <c r="AL26" s="274"/>
      <c r="AM26" s="275"/>
      <c r="AN26" s="310"/>
      <c r="AO26" s="268"/>
      <c r="AP26" s="269"/>
      <c r="AQ26" s="269"/>
      <c r="AR26" s="269"/>
      <c r="AS26" s="269"/>
      <c r="AT26" s="269"/>
      <c r="AU26" s="269"/>
      <c r="AV26" s="269"/>
      <c r="AW26" s="269"/>
      <c r="AX26" s="269"/>
      <c r="AY26" s="269"/>
      <c r="AZ26" s="270"/>
      <c r="BA26" s="4"/>
      <c r="BB26" s="4"/>
      <c r="BC26" s="101"/>
      <c r="BD26" s="101"/>
      <c r="BE26" s="98">
        <v>4</v>
      </c>
      <c r="BF26" s="342"/>
      <c r="BG26" s="342"/>
      <c r="BH26" s="342"/>
      <c r="BI26" s="342"/>
      <c r="BJ26" s="342"/>
      <c r="BK26" s="342"/>
      <c r="BL26" s="342"/>
      <c r="BM26" s="342"/>
      <c r="BN26" s="342"/>
      <c r="BO26" s="342"/>
      <c r="BP26" s="342"/>
      <c r="BQ26" s="342"/>
      <c r="BR26" s="342"/>
      <c r="BS26" s="342"/>
      <c r="BT26" s="342"/>
      <c r="BU26" s="342"/>
      <c r="BV26" s="342"/>
      <c r="BW26" s="342"/>
      <c r="BX26" s="342"/>
      <c r="BY26" s="342"/>
      <c r="BZ26" s="337"/>
      <c r="CA26" s="337"/>
      <c r="CB26" s="337"/>
      <c r="CC26" s="337"/>
      <c r="CD26" s="345"/>
      <c r="CE26" s="345"/>
      <c r="CF26" s="345"/>
      <c r="CG26" s="345"/>
      <c r="CH26" s="346"/>
      <c r="CI26" s="339"/>
      <c r="CJ26" s="339"/>
      <c r="CK26" s="339"/>
      <c r="CL26" s="339"/>
      <c r="CM26" s="347"/>
      <c r="CN26" s="340"/>
      <c r="CO26" s="349"/>
      <c r="CP26" s="349"/>
      <c r="CQ26" s="349"/>
      <c r="CR26" s="349"/>
      <c r="CS26" s="349"/>
      <c r="CT26" s="349"/>
      <c r="CU26" s="349"/>
      <c r="CV26" s="349"/>
      <c r="CW26" s="349"/>
      <c r="CX26" s="349"/>
      <c r="CY26" s="4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R26" s="3"/>
      <c r="DS26" s="3"/>
      <c r="DT26" s="3"/>
    </row>
    <row r="27" spans="2:124" ht="19.5" customHeight="1" x14ac:dyDescent="0.3">
      <c r="B27" s="30"/>
      <c r="C27" s="31"/>
      <c r="D27" s="32"/>
      <c r="E27" s="33"/>
      <c r="F27" s="268"/>
      <c r="G27" s="269"/>
      <c r="H27" s="269"/>
      <c r="I27" s="269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308"/>
      <c r="U27" s="288"/>
      <c r="V27" s="289"/>
      <c r="W27" s="289"/>
      <c r="X27" s="289"/>
      <c r="Y27" s="289"/>
      <c r="Z27" s="289"/>
      <c r="AA27" s="289"/>
      <c r="AB27" s="290"/>
      <c r="AC27" s="311"/>
      <c r="AD27" s="312"/>
      <c r="AE27" s="313"/>
      <c r="AF27" s="312"/>
      <c r="AG27" s="313"/>
      <c r="AH27" s="314"/>
      <c r="AI27" s="311"/>
      <c r="AJ27" s="312"/>
      <c r="AK27" s="313"/>
      <c r="AL27" s="312"/>
      <c r="AM27" s="313"/>
      <c r="AN27" s="314"/>
      <c r="AO27" s="268"/>
      <c r="AP27" s="269"/>
      <c r="AQ27" s="269"/>
      <c r="AR27" s="269"/>
      <c r="AS27" s="269"/>
      <c r="AT27" s="269"/>
      <c r="AU27" s="269"/>
      <c r="AV27" s="269"/>
      <c r="AW27" s="269"/>
      <c r="AX27" s="269"/>
      <c r="AY27" s="269"/>
      <c r="AZ27" s="270"/>
      <c r="BA27" s="4"/>
      <c r="BB27" s="4"/>
      <c r="BC27" s="101"/>
      <c r="BD27" s="101"/>
      <c r="BE27" s="98">
        <v>5</v>
      </c>
      <c r="BF27" s="342"/>
      <c r="BG27" s="342"/>
      <c r="BH27" s="342"/>
      <c r="BI27" s="342"/>
      <c r="BJ27" s="342"/>
      <c r="BK27" s="342"/>
      <c r="BL27" s="342"/>
      <c r="BM27" s="342"/>
      <c r="BN27" s="342"/>
      <c r="BO27" s="342"/>
      <c r="BP27" s="342"/>
      <c r="BQ27" s="342"/>
      <c r="BR27" s="342"/>
      <c r="BS27" s="342"/>
      <c r="BT27" s="342"/>
      <c r="BU27" s="342"/>
      <c r="BV27" s="342"/>
      <c r="BW27" s="342"/>
      <c r="BX27" s="342"/>
      <c r="BY27" s="342"/>
      <c r="BZ27" s="337"/>
      <c r="CA27" s="337"/>
      <c r="CB27" s="337"/>
      <c r="CC27" s="337"/>
      <c r="CD27" s="345"/>
      <c r="CE27" s="345"/>
      <c r="CF27" s="345"/>
      <c r="CG27" s="345"/>
      <c r="CH27" s="346"/>
      <c r="CI27" s="339"/>
      <c r="CJ27" s="339"/>
      <c r="CK27" s="339"/>
      <c r="CL27" s="339"/>
      <c r="CM27" s="347"/>
      <c r="CN27" s="340"/>
      <c r="CO27" s="349"/>
      <c r="CP27" s="349"/>
      <c r="CQ27" s="349"/>
      <c r="CR27" s="349"/>
      <c r="CS27" s="349"/>
      <c r="CT27" s="349"/>
      <c r="CU27" s="349"/>
      <c r="CV27" s="349"/>
      <c r="CW27" s="349"/>
      <c r="CX27" s="349"/>
      <c r="CY27" s="4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R27" s="3"/>
      <c r="DS27" s="3"/>
      <c r="DT27" s="3"/>
    </row>
    <row r="28" spans="2:124" ht="19.5" customHeight="1" thickBot="1" x14ac:dyDescent="0.35">
      <c r="B28" s="34"/>
      <c r="C28" s="35"/>
      <c r="D28" s="36"/>
      <c r="E28" s="37"/>
      <c r="F28" s="315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6"/>
      <c r="R28" s="316"/>
      <c r="S28" s="316"/>
      <c r="T28" s="317"/>
      <c r="U28" s="318"/>
      <c r="V28" s="319"/>
      <c r="W28" s="319"/>
      <c r="X28" s="319"/>
      <c r="Y28" s="319"/>
      <c r="Z28" s="319"/>
      <c r="AA28" s="319"/>
      <c r="AB28" s="320"/>
      <c r="AC28" s="315"/>
      <c r="AD28" s="321"/>
      <c r="AE28" s="322"/>
      <c r="AF28" s="321"/>
      <c r="AG28" s="322"/>
      <c r="AH28" s="317"/>
      <c r="AI28" s="315"/>
      <c r="AJ28" s="321"/>
      <c r="AK28" s="322"/>
      <c r="AL28" s="321"/>
      <c r="AM28" s="322"/>
      <c r="AN28" s="317"/>
      <c r="AO28" s="284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6"/>
      <c r="BA28" s="4"/>
      <c r="BB28" s="4"/>
      <c r="BC28" s="103"/>
      <c r="BD28" s="103"/>
      <c r="BE28" s="104">
        <v>6</v>
      </c>
      <c r="BF28" s="350"/>
      <c r="BG28" s="350"/>
      <c r="BH28" s="350"/>
      <c r="BI28" s="350"/>
      <c r="BJ28" s="350"/>
      <c r="BK28" s="350"/>
      <c r="BL28" s="350"/>
      <c r="BM28" s="350"/>
      <c r="BN28" s="350"/>
      <c r="BO28" s="350"/>
      <c r="BP28" s="350"/>
      <c r="BQ28" s="350"/>
      <c r="BR28" s="350"/>
      <c r="BS28" s="350"/>
      <c r="BT28" s="350"/>
      <c r="BU28" s="350"/>
      <c r="BV28" s="350"/>
      <c r="BW28" s="350"/>
      <c r="BX28" s="350"/>
      <c r="BY28" s="350"/>
      <c r="BZ28" s="351"/>
      <c r="CA28" s="351"/>
      <c r="CB28" s="351"/>
      <c r="CC28" s="351"/>
      <c r="CD28" s="345"/>
      <c r="CE28" s="345"/>
      <c r="CF28" s="345"/>
      <c r="CG28" s="345"/>
      <c r="CH28" s="346"/>
      <c r="CI28" s="352"/>
      <c r="CJ28" s="352"/>
      <c r="CK28" s="352"/>
      <c r="CL28" s="352"/>
      <c r="CM28" s="353"/>
      <c r="CN28" s="354"/>
      <c r="CO28" s="355"/>
      <c r="CP28" s="355"/>
      <c r="CQ28" s="355"/>
      <c r="CR28" s="355"/>
      <c r="CS28" s="355"/>
      <c r="CT28" s="355"/>
      <c r="CU28" s="355"/>
      <c r="CV28" s="355"/>
      <c r="CW28" s="355"/>
      <c r="CX28" s="355"/>
      <c r="CY28" s="4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R28" s="3"/>
      <c r="DS28" s="3"/>
      <c r="DT28" s="3"/>
    </row>
    <row r="29" spans="2:124" ht="19.5" customHeight="1" x14ac:dyDescent="0.3">
      <c r="B29" s="85">
        <v>4</v>
      </c>
      <c r="C29" s="86"/>
      <c r="D29" s="87" t="s">
        <v>18</v>
      </c>
      <c r="E29" s="88"/>
      <c r="F29" s="259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300"/>
      <c r="U29" s="323"/>
      <c r="V29" s="324"/>
      <c r="W29" s="324"/>
      <c r="X29" s="324"/>
      <c r="Y29" s="324"/>
      <c r="Z29" s="324"/>
      <c r="AA29" s="324"/>
      <c r="AB29" s="325"/>
      <c r="AC29" s="304"/>
      <c r="AD29" s="305"/>
      <c r="AE29" s="306"/>
      <c r="AF29" s="305"/>
      <c r="AG29" s="306"/>
      <c r="AH29" s="307"/>
      <c r="AI29" s="304"/>
      <c r="AJ29" s="305"/>
      <c r="AK29" s="306"/>
      <c r="AL29" s="305"/>
      <c r="AM29" s="306"/>
      <c r="AN29" s="307"/>
      <c r="AO29" s="304"/>
      <c r="AP29" s="326"/>
      <c r="AQ29" s="326"/>
      <c r="AR29" s="326"/>
      <c r="AS29" s="326"/>
      <c r="AT29" s="326"/>
      <c r="AU29" s="326"/>
      <c r="AV29" s="326"/>
      <c r="AW29" s="326"/>
      <c r="AX29" s="326"/>
      <c r="AY29" s="326"/>
      <c r="AZ29" s="327"/>
      <c r="BA29" s="4"/>
      <c r="BB29" s="4"/>
      <c r="BC29" s="102" t="str">
        <f t="shared" ref="BC29" si="5">$D$29</f>
        <v>Topografía del terreno y Tipo de Suelo</v>
      </c>
      <c r="BD29" s="102"/>
      <c r="BE29" s="99">
        <v>1</v>
      </c>
      <c r="BF29" s="342"/>
      <c r="BG29" s="342"/>
      <c r="BH29" s="342"/>
      <c r="BI29" s="342"/>
      <c r="BJ29" s="342"/>
      <c r="BK29" s="342"/>
      <c r="BL29" s="342"/>
      <c r="BM29" s="342"/>
      <c r="BN29" s="342"/>
      <c r="BO29" s="342"/>
      <c r="BP29" s="342"/>
      <c r="BQ29" s="342"/>
      <c r="BR29" s="342"/>
      <c r="BS29" s="342"/>
      <c r="BT29" s="342"/>
      <c r="BU29" s="342"/>
      <c r="BV29" s="342"/>
      <c r="BW29" s="342"/>
      <c r="BX29" s="342"/>
      <c r="BY29" s="342"/>
      <c r="BZ29" s="356"/>
      <c r="CA29" s="357"/>
      <c r="CB29" s="357"/>
      <c r="CC29" s="358"/>
      <c r="CD29" s="338"/>
      <c r="CE29" s="338"/>
      <c r="CF29" s="338"/>
      <c r="CG29" s="338"/>
      <c r="CH29" s="338"/>
      <c r="CI29" s="339"/>
      <c r="CJ29" s="339"/>
      <c r="CK29" s="339"/>
      <c r="CL29" s="339"/>
      <c r="CM29" s="339"/>
      <c r="CN29" s="340"/>
      <c r="CO29" s="336"/>
      <c r="CP29" s="336"/>
      <c r="CQ29" s="336"/>
      <c r="CR29" s="336"/>
      <c r="CS29" s="336"/>
      <c r="CT29" s="336"/>
      <c r="CU29" s="336"/>
      <c r="CV29" s="336"/>
      <c r="CW29" s="336"/>
      <c r="CX29" s="336"/>
      <c r="CY29" s="4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R29" s="3"/>
      <c r="DS29" s="3"/>
      <c r="DT29" s="3"/>
    </row>
    <row r="30" spans="2:124" ht="19.5" customHeight="1" x14ac:dyDescent="0.3">
      <c r="B30" s="89"/>
      <c r="C30" s="90"/>
      <c r="D30" s="91"/>
      <c r="E30" s="92"/>
      <c r="F30" s="268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308"/>
      <c r="U30" s="328"/>
      <c r="V30" s="329"/>
      <c r="W30" s="329"/>
      <c r="X30" s="329"/>
      <c r="Y30" s="329"/>
      <c r="Z30" s="329"/>
      <c r="AA30" s="329"/>
      <c r="AB30" s="330"/>
      <c r="AC30" s="309"/>
      <c r="AD30" s="274"/>
      <c r="AE30" s="275"/>
      <c r="AF30" s="274"/>
      <c r="AG30" s="275"/>
      <c r="AH30" s="310"/>
      <c r="AI30" s="309"/>
      <c r="AJ30" s="274"/>
      <c r="AK30" s="275"/>
      <c r="AL30" s="274"/>
      <c r="AM30" s="275"/>
      <c r="AN30" s="310"/>
      <c r="AO30" s="331"/>
      <c r="AP30" s="332"/>
      <c r="AQ30" s="332"/>
      <c r="AR30" s="332"/>
      <c r="AS30" s="332"/>
      <c r="AT30" s="332"/>
      <c r="AU30" s="332"/>
      <c r="AV30" s="332"/>
      <c r="AW30" s="332"/>
      <c r="AX30" s="332"/>
      <c r="AY30" s="332"/>
      <c r="AZ30" s="333"/>
      <c r="BA30" s="4"/>
      <c r="BB30" s="4"/>
      <c r="BC30" s="102"/>
      <c r="BD30" s="102"/>
      <c r="BE30" s="99">
        <v>2</v>
      </c>
      <c r="BF30" s="342"/>
      <c r="BG30" s="342"/>
      <c r="BH30" s="342"/>
      <c r="BI30" s="342"/>
      <c r="BJ30" s="342"/>
      <c r="BK30" s="342"/>
      <c r="BL30" s="342"/>
      <c r="BM30" s="342"/>
      <c r="BN30" s="342"/>
      <c r="BO30" s="342"/>
      <c r="BP30" s="342"/>
      <c r="BQ30" s="342"/>
      <c r="BR30" s="342"/>
      <c r="BS30" s="342"/>
      <c r="BT30" s="342"/>
      <c r="BU30" s="342"/>
      <c r="BV30" s="342"/>
      <c r="BW30" s="342"/>
      <c r="BX30" s="342"/>
      <c r="BY30" s="342"/>
      <c r="BZ30" s="356"/>
      <c r="CA30" s="357"/>
      <c r="CB30" s="357"/>
      <c r="CC30" s="358"/>
      <c r="CD30" s="338"/>
      <c r="CE30" s="338"/>
      <c r="CF30" s="338"/>
      <c r="CG30" s="338"/>
      <c r="CH30" s="338"/>
      <c r="CI30" s="339"/>
      <c r="CJ30" s="339"/>
      <c r="CK30" s="339"/>
      <c r="CL30" s="339"/>
      <c r="CM30" s="339"/>
      <c r="CN30" s="340"/>
      <c r="CO30" s="349"/>
      <c r="CP30" s="349"/>
      <c r="CQ30" s="349"/>
      <c r="CR30" s="349"/>
      <c r="CS30" s="349"/>
      <c r="CT30" s="349"/>
      <c r="CU30" s="349"/>
      <c r="CV30" s="349"/>
      <c r="CW30" s="349"/>
      <c r="CX30" s="349"/>
      <c r="CY30" s="4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R30" s="3"/>
      <c r="DS30" s="3"/>
      <c r="DT30" s="3"/>
    </row>
    <row r="31" spans="2:124" ht="19.5" customHeight="1" x14ac:dyDescent="0.3">
      <c r="B31" s="89"/>
      <c r="C31" s="90"/>
      <c r="D31" s="91"/>
      <c r="E31" s="92"/>
      <c r="F31" s="268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308"/>
      <c r="U31" s="294"/>
      <c r="V31" s="295"/>
      <c r="W31" s="295"/>
      <c r="X31" s="295"/>
      <c r="Y31" s="295"/>
      <c r="Z31" s="295"/>
      <c r="AA31" s="295"/>
      <c r="AB31" s="296"/>
      <c r="AC31" s="311"/>
      <c r="AD31" s="312"/>
      <c r="AE31" s="313"/>
      <c r="AF31" s="312"/>
      <c r="AG31" s="313"/>
      <c r="AH31" s="314"/>
      <c r="AI31" s="311"/>
      <c r="AJ31" s="312"/>
      <c r="AK31" s="313"/>
      <c r="AL31" s="312"/>
      <c r="AM31" s="313"/>
      <c r="AN31" s="314"/>
      <c r="AO31" s="331"/>
      <c r="AP31" s="332"/>
      <c r="AQ31" s="332"/>
      <c r="AR31" s="332"/>
      <c r="AS31" s="332"/>
      <c r="AT31" s="332"/>
      <c r="AU31" s="332"/>
      <c r="AV31" s="332"/>
      <c r="AW31" s="332"/>
      <c r="AX31" s="332"/>
      <c r="AY31" s="332"/>
      <c r="AZ31" s="333"/>
      <c r="BA31" s="4"/>
      <c r="BB31" s="4"/>
      <c r="BC31" s="102"/>
      <c r="BD31" s="102"/>
      <c r="BE31" s="99">
        <v>3</v>
      </c>
      <c r="BF31" s="342"/>
      <c r="BG31" s="342"/>
      <c r="BH31" s="342"/>
      <c r="BI31" s="342"/>
      <c r="BJ31" s="342"/>
      <c r="BK31" s="342"/>
      <c r="BL31" s="342"/>
      <c r="BM31" s="342"/>
      <c r="BN31" s="342"/>
      <c r="BO31" s="342"/>
      <c r="BP31" s="342"/>
      <c r="BQ31" s="342"/>
      <c r="BR31" s="342"/>
      <c r="BS31" s="342"/>
      <c r="BT31" s="342"/>
      <c r="BU31" s="342"/>
      <c r="BV31" s="342"/>
      <c r="BW31" s="342"/>
      <c r="BX31" s="342"/>
      <c r="BY31" s="342"/>
      <c r="BZ31" s="356"/>
      <c r="CA31" s="357"/>
      <c r="CB31" s="357"/>
      <c r="CC31" s="358"/>
      <c r="CD31" s="338"/>
      <c r="CE31" s="338"/>
      <c r="CF31" s="338"/>
      <c r="CG31" s="338"/>
      <c r="CH31" s="338"/>
      <c r="CI31" s="339"/>
      <c r="CJ31" s="339"/>
      <c r="CK31" s="339"/>
      <c r="CL31" s="339"/>
      <c r="CM31" s="339"/>
      <c r="CN31" s="340"/>
      <c r="CO31" s="349"/>
      <c r="CP31" s="349"/>
      <c r="CQ31" s="349"/>
      <c r="CR31" s="349"/>
      <c r="CS31" s="349"/>
      <c r="CT31" s="349"/>
      <c r="CU31" s="349"/>
      <c r="CV31" s="349"/>
      <c r="CW31" s="349"/>
      <c r="CX31" s="349"/>
      <c r="CY31" s="4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R31" s="3"/>
      <c r="DS31" s="3"/>
      <c r="DT31" s="3"/>
    </row>
    <row r="32" spans="2:124" ht="19.5" customHeight="1" x14ac:dyDescent="0.3">
      <c r="B32" s="89"/>
      <c r="C32" s="90"/>
      <c r="D32" s="91"/>
      <c r="E32" s="92"/>
      <c r="F32" s="268"/>
      <c r="G32" s="269"/>
      <c r="H32" s="269"/>
      <c r="I32" s="269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308"/>
      <c r="U32" s="328"/>
      <c r="V32" s="329"/>
      <c r="W32" s="329"/>
      <c r="X32" s="329"/>
      <c r="Y32" s="329"/>
      <c r="Z32" s="329"/>
      <c r="AA32" s="329"/>
      <c r="AB32" s="330"/>
      <c r="AC32" s="309"/>
      <c r="AD32" s="274"/>
      <c r="AE32" s="275"/>
      <c r="AF32" s="274"/>
      <c r="AG32" s="275"/>
      <c r="AH32" s="310"/>
      <c r="AI32" s="309"/>
      <c r="AJ32" s="274"/>
      <c r="AK32" s="275"/>
      <c r="AL32" s="274"/>
      <c r="AM32" s="275"/>
      <c r="AN32" s="310"/>
      <c r="AO32" s="331"/>
      <c r="AP32" s="332"/>
      <c r="AQ32" s="332"/>
      <c r="AR32" s="332"/>
      <c r="AS32" s="332"/>
      <c r="AT32" s="332"/>
      <c r="AU32" s="332"/>
      <c r="AV32" s="332"/>
      <c r="AW32" s="332"/>
      <c r="AX32" s="332"/>
      <c r="AY32" s="332"/>
      <c r="AZ32" s="333"/>
      <c r="BA32" s="4"/>
      <c r="BB32" s="4"/>
      <c r="BC32" s="102"/>
      <c r="BD32" s="102"/>
      <c r="BE32" s="99">
        <v>4</v>
      </c>
      <c r="BF32" s="342"/>
      <c r="BG32" s="342"/>
      <c r="BH32" s="342"/>
      <c r="BI32" s="342"/>
      <c r="BJ32" s="342"/>
      <c r="BK32" s="342"/>
      <c r="BL32" s="342"/>
      <c r="BM32" s="342"/>
      <c r="BN32" s="342"/>
      <c r="BO32" s="342"/>
      <c r="BP32" s="342"/>
      <c r="BQ32" s="342"/>
      <c r="BR32" s="342"/>
      <c r="BS32" s="342"/>
      <c r="BT32" s="342"/>
      <c r="BU32" s="342"/>
      <c r="BV32" s="342"/>
      <c r="BW32" s="342"/>
      <c r="BX32" s="342"/>
      <c r="BY32" s="342"/>
      <c r="BZ32" s="356"/>
      <c r="CA32" s="357"/>
      <c r="CB32" s="357"/>
      <c r="CC32" s="358"/>
      <c r="CD32" s="338"/>
      <c r="CE32" s="338"/>
      <c r="CF32" s="338"/>
      <c r="CG32" s="338"/>
      <c r="CH32" s="338"/>
      <c r="CI32" s="339"/>
      <c r="CJ32" s="339"/>
      <c r="CK32" s="339"/>
      <c r="CL32" s="339"/>
      <c r="CM32" s="339"/>
      <c r="CN32" s="340"/>
      <c r="CO32" s="349"/>
      <c r="CP32" s="349"/>
      <c r="CQ32" s="349"/>
      <c r="CR32" s="349"/>
      <c r="CS32" s="349"/>
      <c r="CT32" s="349"/>
      <c r="CU32" s="349"/>
      <c r="CV32" s="349"/>
      <c r="CW32" s="349"/>
      <c r="CX32" s="349"/>
      <c r="CY32" s="4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R32" s="3"/>
      <c r="DS32" s="3"/>
      <c r="DT32" s="3"/>
    </row>
    <row r="33" spans="2:108" ht="19.5" customHeight="1" x14ac:dyDescent="0.3">
      <c r="B33" s="89"/>
      <c r="C33" s="90"/>
      <c r="D33" s="91"/>
      <c r="E33" s="92"/>
      <c r="F33" s="268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308"/>
      <c r="U33" s="294"/>
      <c r="V33" s="295"/>
      <c r="W33" s="295"/>
      <c r="X33" s="295"/>
      <c r="Y33" s="295"/>
      <c r="Z33" s="295"/>
      <c r="AA33" s="295"/>
      <c r="AB33" s="296"/>
      <c r="AC33" s="311"/>
      <c r="AD33" s="312"/>
      <c r="AE33" s="313"/>
      <c r="AF33" s="312"/>
      <c r="AG33" s="313"/>
      <c r="AH33" s="314"/>
      <c r="AI33" s="311"/>
      <c r="AJ33" s="312"/>
      <c r="AK33" s="313"/>
      <c r="AL33" s="312"/>
      <c r="AM33" s="313"/>
      <c r="AN33" s="314"/>
      <c r="AO33" s="331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3"/>
      <c r="BA33" s="4"/>
      <c r="BB33" s="4"/>
      <c r="BC33" s="102"/>
      <c r="BD33" s="102"/>
      <c r="BE33" s="99">
        <v>5</v>
      </c>
      <c r="BF33" s="342"/>
      <c r="BG33" s="342"/>
      <c r="BH33" s="342"/>
      <c r="BI33" s="342"/>
      <c r="BJ33" s="342"/>
      <c r="BK33" s="342"/>
      <c r="BL33" s="342"/>
      <c r="BM33" s="342"/>
      <c r="BN33" s="342"/>
      <c r="BO33" s="342"/>
      <c r="BP33" s="342"/>
      <c r="BQ33" s="342"/>
      <c r="BR33" s="342"/>
      <c r="BS33" s="342"/>
      <c r="BT33" s="342"/>
      <c r="BU33" s="342"/>
      <c r="BV33" s="342"/>
      <c r="BW33" s="342"/>
      <c r="BX33" s="342"/>
      <c r="BY33" s="342"/>
      <c r="BZ33" s="356"/>
      <c r="CA33" s="357"/>
      <c r="CB33" s="357"/>
      <c r="CC33" s="358"/>
      <c r="CD33" s="338"/>
      <c r="CE33" s="338"/>
      <c r="CF33" s="338"/>
      <c r="CG33" s="338"/>
      <c r="CH33" s="338"/>
      <c r="CI33" s="339"/>
      <c r="CJ33" s="339"/>
      <c r="CK33" s="339"/>
      <c r="CL33" s="339"/>
      <c r="CM33" s="339"/>
      <c r="CN33" s="340"/>
      <c r="CO33" s="349"/>
      <c r="CP33" s="349"/>
      <c r="CQ33" s="349"/>
      <c r="CR33" s="349"/>
      <c r="CS33" s="349"/>
      <c r="CT33" s="349"/>
      <c r="CU33" s="349"/>
      <c r="CV33" s="349"/>
      <c r="CW33" s="349"/>
      <c r="CX33" s="349"/>
      <c r="CY33" s="4"/>
      <c r="CZ33" s="3"/>
      <c r="DA33" s="3"/>
      <c r="DB33" s="3"/>
      <c r="DC33" s="3"/>
      <c r="DD33" s="3"/>
    </row>
    <row r="34" spans="2:108" ht="19.5" customHeight="1" thickBot="1" x14ac:dyDescent="0.35">
      <c r="B34" s="93"/>
      <c r="C34" s="94"/>
      <c r="D34" s="95"/>
      <c r="E34" s="96"/>
      <c r="F34" s="284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334"/>
      <c r="U34" s="297"/>
      <c r="V34" s="298"/>
      <c r="W34" s="298"/>
      <c r="X34" s="298"/>
      <c r="Y34" s="298"/>
      <c r="Z34" s="298"/>
      <c r="AA34" s="298"/>
      <c r="AB34" s="299"/>
      <c r="AC34" s="315"/>
      <c r="AD34" s="321"/>
      <c r="AE34" s="322"/>
      <c r="AF34" s="321"/>
      <c r="AG34" s="322"/>
      <c r="AH34" s="317"/>
      <c r="AI34" s="315"/>
      <c r="AJ34" s="321"/>
      <c r="AK34" s="322"/>
      <c r="AL34" s="321"/>
      <c r="AM34" s="322"/>
      <c r="AN34" s="317"/>
      <c r="AO34" s="315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35"/>
      <c r="BA34" s="4"/>
      <c r="BB34" s="4"/>
      <c r="BC34" s="102"/>
      <c r="BD34" s="102"/>
      <c r="BE34" s="99">
        <v>6</v>
      </c>
      <c r="BF34" s="342"/>
      <c r="BG34" s="342"/>
      <c r="BH34" s="342"/>
      <c r="BI34" s="342"/>
      <c r="BJ34" s="342"/>
      <c r="BK34" s="342"/>
      <c r="BL34" s="342"/>
      <c r="BM34" s="342"/>
      <c r="BN34" s="342"/>
      <c r="BO34" s="342"/>
      <c r="BP34" s="342"/>
      <c r="BQ34" s="342"/>
      <c r="BR34" s="342"/>
      <c r="BS34" s="342"/>
      <c r="BT34" s="342"/>
      <c r="BU34" s="342"/>
      <c r="BV34" s="342"/>
      <c r="BW34" s="342"/>
      <c r="BX34" s="342"/>
      <c r="BY34" s="342"/>
      <c r="BZ34" s="356"/>
      <c r="CA34" s="357"/>
      <c r="CB34" s="357"/>
      <c r="CC34" s="358"/>
      <c r="CD34" s="338"/>
      <c r="CE34" s="338"/>
      <c r="CF34" s="338"/>
      <c r="CG34" s="338"/>
      <c r="CH34" s="338"/>
      <c r="CI34" s="339"/>
      <c r="CJ34" s="339"/>
      <c r="CK34" s="339"/>
      <c r="CL34" s="339"/>
      <c r="CM34" s="339"/>
      <c r="CN34" s="340"/>
      <c r="CO34" s="343"/>
      <c r="CP34" s="343"/>
      <c r="CQ34" s="343"/>
      <c r="CR34" s="343"/>
      <c r="CS34" s="343"/>
      <c r="CT34" s="343"/>
      <c r="CU34" s="343"/>
      <c r="CV34" s="343"/>
      <c r="CW34" s="343"/>
      <c r="CX34" s="343"/>
      <c r="CY34" s="4"/>
      <c r="CZ34" s="3"/>
      <c r="DA34" s="3"/>
      <c r="DB34" s="3"/>
      <c r="DC34" s="3"/>
      <c r="DD34" s="3"/>
    </row>
    <row r="35" spans="2:108" ht="19.5" customHeight="1" x14ac:dyDescent="0.3">
      <c r="B35" s="38">
        <v>5</v>
      </c>
      <c r="C35" s="39"/>
      <c r="D35" s="40" t="s">
        <v>19</v>
      </c>
      <c r="E35" s="40"/>
      <c r="F35" s="259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300"/>
      <c r="U35" s="323"/>
      <c r="V35" s="324"/>
      <c r="W35" s="324"/>
      <c r="X35" s="324"/>
      <c r="Y35" s="324"/>
      <c r="Z35" s="324"/>
      <c r="AA35" s="324"/>
      <c r="AB35" s="325"/>
      <c r="AC35" s="304"/>
      <c r="AD35" s="305"/>
      <c r="AE35" s="306"/>
      <c r="AF35" s="305"/>
      <c r="AG35" s="306"/>
      <c r="AH35" s="307"/>
      <c r="AI35" s="304"/>
      <c r="AJ35" s="305"/>
      <c r="AK35" s="306"/>
      <c r="AL35" s="305"/>
      <c r="AM35" s="306"/>
      <c r="AN35" s="307"/>
      <c r="AO35" s="259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1"/>
      <c r="BA35" s="4"/>
      <c r="BB35" s="4"/>
      <c r="BC35" s="101" t="str">
        <f>$D$35</f>
        <v>Características Generales del Cultivo</v>
      </c>
      <c r="BD35" s="101"/>
      <c r="BE35" s="98">
        <v>1</v>
      </c>
      <c r="BF35" s="336"/>
      <c r="BG35" s="336"/>
      <c r="BH35" s="336"/>
      <c r="BI35" s="336"/>
      <c r="BJ35" s="336"/>
      <c r="BK35" s="336"/>
      <c r="BL35" s="336"/>
      <c r="BM35" s="336"/>
      <c r="BN35" s="336"/>
      <c r="BO35" s="336"/>
      <c r="BP35" s="336"/>
      <c r="BQ35" s="336"/>
      <c r="BR35" s="336"/>
      <c r="BS35" s="336"/>
      <c r="BT35" s="336"/>
      <c r="BU35" s="336"/>
      <c r="BV35" s="336"/>
      <c r="BW35" s="336"/>
      <c r="BX35" s="336"/>
      <c r="BY35" s="336"/>
      <c r="BZ35" s="337"/>
      <c r="CA35" s="337"/>
      <c r="CB35" s="337"/>
      <c r="CC35" s="337"/>
      <c r="CD35" s="345"/>
      <c r="CE35" s="345"/>
      <c r="CF35" s="345"/>
      <c r="CG35" s="345"/>
      <c r="CH35" s="346"/>
      <c r="CI35" s="339"/>
      <c r="CJ35" s="339"/>
      <c r="CK35" s="339"/>
      <c r="CL35" s="339"/>
      <c r="CM35" s="347"/>
      <c r="CN35" s="340"/>
      <c r="CO35" s="348"/>
      <c r="CP35" s="348"/>
      <c r="CQ35" s="348"/>
      <c r="CR35" s="348"/>
      <c r="CS35" s="348"/>
      <c r="CT35" s="348"/>
      <c r="CU35" s="348"/>
      <c r="CV35" s="348"/>
      <c r="CW35" s="348"/>
      <c r="CX35" s="348"/>
      <c r="CY35" s="4"/>
      <c r="CZ35" s="3"/>
      <c r="DA35" s="3"/>
      <c r="DB35" s="3"/>
      <c r="DC35" s="3"/>
      <c r="DD35" s="3"/>
    </row>
    <row r="36" spans="2:108" ht="19.5" customHeight="1" x14ac:dyDescent="0.3">
      <c r="B36" s="20"/>
      <c r="C36" s="21"/>
      <c r="D36" s="22"/>
      <c r="E36" s="22"/>
      <c r="F36" s="268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308"/>
      <c r="U36" s="328"/>
      <c r="V36" s="329"/>
      <c r="W36" s="329"/>
      <c r="X36" s="329"/>
      <c r="Y36" s="329"/>
      <c r="Z36" s="329"/>
      <c r="AA36" s="329"/>
      <c r="AB36" s="330"/>
      <c r="AC36" s="309"/>
      <c r="AD36" s="274"/>
      <c r="AE36" s="275"/>
      <c r="AF36" s="274"/>
      <c r="AG36" s="275"/>
      <c r="AH36" s="310"/>
      <c r="AI36" s="309"/>
      <c r="AJ36" s="274"/>
      <c r="AK36" s="275"/>
      <c r="AL36" s="274"/>
      <c r="AM36" s="275"/>
      <c r="AN36" s="310"/>
      <c r="AO36" s="268"/>
      <c r="AP36" s="269"/>
      <c r="AQ36" s="269"/>
      <c r="AR36" s="269"/>
      <c r="AS36" s="269"/>
      <c r="AT36" s="269"/>
      <c r="AU36" s="269"/>
      <c r="AV36" s="269"/>
      <c r="AW36" s="269"/>
      <c r="AX36" s="269"/>
      <c r="AY36" s="269"/>
      <c r="AZ36" s="270"/>
      <c r="BA36" s="4"/>
      <c r="BB36" s="4"/>
      <c r="BC36" s="101"/>
      <c r="BD36" s="101"/>
      <c r="BE36" s="98">
        <v>2</v>
      </c>
      <c r="BF36" s="342"/>
      <c r="BG36" s="342"/>
      <c r="BH36" s="342"/>
      <c r="BI36" s="342"/>
      <c r="BJ36" s="342"/>
      <c r="BK36" s="342"/>
      <c r="BL36" s="342"/>
      <c r="BM36" s="342"/>
      <c r="BN36" s="342"/>
      <c r="BO36" s="342"/>
      <c r="BP36" s="342"/>
      <c r="BQ36" s="342"/>
      <c r="BR36" s="342"/>
      <c r="BS36" s="342"/>
      <c r="BT36" s="342"/>
      <c r="BU36" s="342"/>
      <c r="BV36" s="342"/>
      <c r="BW36" s="342"/>
      <c r="BX36" s="342"/>
      <c r="BY36" s="342"/>
      <c r="BZ36" s="337"/>
      <c r="CA36" s="337"/>
      <c r="CB36" s="337"/>
      <c r="CC36" s="337"/>
      <c r="CD36" s="345"/>
      <c r="CE36" s="345"/>
      <c r="CF36" s="345"/>
      <c r="CG36" s="345"/>
      <c r="CH36" s="346"/>
      <c r="CI36" s="339"/>
      <c r="CJ36" s="339"/>
      <c r="CK36" s="339"/>
      <c r="CL36" s="339"/>
      <c r="CM36" s="347"/>
      <c r="CN36" s="340"/>
      <c r="CO36" s="349"/>
      <c r="CP36" s="349"/>
      <c r="CQ36" s="349"/>
      <c r="CR36" s="349"/>
      <c r="CS36" s="349"/>
      <c r="CT36" s="349"/>
      <c r="CU36" s="349"/>
      <c r="CV36" s="349"/>
      <c r="CW36" s="349"/>
      <c r="CX36" s="349"/>
      <c r="CY36" s="4"/>
      <c r="CZ36" s="3"/>
      <c r="DA36" s="3"/>
      <c r="DB36" s="3"/>
      <c r="DC36" s="3"/>
      <c r="DD36" s="3"/>
    </row>
    <row r="37" spans="2:108" ht="19.5" customHeight="1" x14ac:dyDescent="0.3">
      <c r="B37" s="20"/>
      <c r="C37" s="21"/>
      <c r="D37" s="22"/>
      <c r="E37" s="22"/>
      <c r="F37" s="268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308"/>
      <c r="U37" s="288"/>
      <c r="V37" s="289"/>
      <c r="W37" s="289"/>
      <c r="X37" s="289"/>
      <c r="Y37" s="289"/>
      <c r="Z37" s="289"/>
      <c r="AA37" s="289"/>
      <c r="AB37" s="290"/>
      <c r="AC37" s="311"/>
      <c r="AD37" s="312"/>
      <c r="AE37" s="313"/>
      <c r="AF37" s="312"/>
      <c r="AG37" s="313"/>
      <c r="AH37" s="314"/>
      <c r="AI37" s="311"/>
      <c r="AJ37" s="312"/>
      <c r="AK37" s="313"/>
      <c r="AL37" s="312"/>
      <c r="AM37" s="313"/>
      <c r="AN37" s="314"/>
      <c r="AO37" s="268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70"/>
      <c r="BA37" s="4"/>
      <c r="BB37" s="4"/>
      <c r="BC37" s="101"/>
      <c r="BD37" s="101"/>
      <c r="BE37" s="98">
        <v>3</v>
      </c>
      <c r="BF37" s="342"/>
      <c r="BG37" s="342"/>
      <c r="BH37" s="342"/>
      <c r="BI37" s="342"/>
      <c r="BJ37" s="342"/>
      <c r="BK37" s="342"/>
      <c r="BL37" s="342"/>
      <c r="BM37" s="342"/>
      <c r="BN37" s="342"/>
      <c r="BO37" s="342"/>
      <c r="BP37" s="342"/>
      <c r="BQ37" s="342"/>
      <c r="BR37" s="342"/>
      <c r="BS37" s="342"/>
      <c r="BT37" s="342"/>
      <c r="BU37" s="342"/>
      <c r="BV37" s="342"/>
      <c r="BW37" s="342"/>
      <c r="BX37" s="342"/>
      <c r="BY37" s="342"/>
      <c r="BZ37" s="337"/>
      <c r="CA37" s="337"/>
      <c r="CB37" s="337"/>
      <c r="CC37" s="337"/>
      <c r="CD37" s="345"/>
      <c r="CE37" s="345"/>
      <c r="CF37" s="345"/>
      <c r="CG37" s="345"/>
      <c r="CH37" s="346"/>
      <c r="CI37" s="339"/>
      <c r="CJ37" s="339"/>
      <c r="CK37" s="339"/>
      <c r="CL37" s="339"/>
      <c r="CM37" s="347"/>
      <c r="CN37" s="340"/>
      <c r="CO37" s="349"/>
      <c r="CP37" s="349"/>
      <c r="CQ37" s="349"/>
      <c r="CR37" s="349"/>
      <c r="CS37" s="349"/>
      <c r="CT37" s="349"/>
      <c r="CU37" s="349"/>
      <c r="CV37" s="349"/>
      <c r="CW37" s="349"/>
      <c r="CX37" s="349"/>
      <c r="CY37" s="4"/>
      <c r="CZ37" s="3"/>
      <c r="DA37" s="3"/>
      <c r="DB37" s="3"/>
      <c r="DC37" s="3"/>
      <c r="DD37" s="3"/>
    </row>
    <row r="38" spans="2:108" ht="19.5" customHeight="1" x14ac:dyDescent="0.3">
      <c r="B38" s="20"/>
      <c r="C38" s="21"/>
      <c r="D38" s="22"/>
      <c r="E38" s="22"/>
      <c r="F38" s="268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308"/>
      <c r="U38" s="291"/>
      <c r="V38" s="292"/>
      <c r="W38" s="292"/>
      <c r="X38" s="292"/>
      <c r="Y38" s="292"/>
      <c r="Z38" s="292"/>
      <c r="AA38" s="292"/>
      <c r="AB38" s="293"/>
      <c r="AC38" s="309"/>
      <c r="AD38" s="274"/>
      <c r="AE38" s="275"/>
      <c r="AF38" s="274"/>
      <c r="AG38" s="275"/>
      <c r="AH38" s="310"/>
      <c r="AI38" s="309"/>
      <c r="AJ38" s="274"/>
      <c r="AK38" s="275"/>
      <c r="AL38" s="274"/>
      <c r="AM38" s="275"/>
      <c r="AN38" s="310"/>
      <c r="AO38" s="268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70"/>
      <c r="BA38" s="4"/>
      <c r="BB38" s="4"/>
      <c r="BC38" s="101"/>
      <c r="BD38" s="101"/>
      <c r="BE38" s="98">
        <v>4</v>
      </c>
      <c r="BF38" s="342"/>
      <c r="BG38" s="342"/>
      <c r="BH38" s="342"/>
      <c r="BI38" s="342"/>
      <c r="BJ38" s="342"/>
      <c r="BK38" s="342"/>
      <c r="BL38" s="342"/>
      <c r="BM38" s="342"/>
      <c r="BN38" s="342"/>
      <c r="BO38" s="342"/>
      <c r="BP38" s="342"/>
      <c r="BQ38" s="342"/>
      <c r="BR38" s="342"/>
      <c r="BS38" s="342"/>
      <c r="BT38" s="342"/>
      <c r="BU38" s="342"/>
      <c r="BV38" s="342"/>
      <c r="BW38" s="342"/>
      <c r="BX38" s="342"/>
      <c r="BY38" s="342"/>
      <c r="BZ38" s="337"/>
      <c r="CA38" s="337"/>
      <c r="CB38" s="337"/>
      <c r="CC38" s="337"/>
      <c r="CD38" s="345"/>
      <c r="CE38" s="345"/>
      <c r="CF38" s="345"/>
      <c r="CG38" s="345"/>
      <c r="CH38" s="346"/>
      <c r="CI38" s="339"/>
      <c r="CJ38" s="339"/>
      <c r="CK38" s="339"/>
      <c r="CL38" s="339"/>
      <c r="CM38" s="347"/>
      <c r="CN38" s="340"/>
      <c r="CO38" s="349"/>
      <c r="CP38" s="349"/>
      <c r="CQ38" s="349"/>
      <c r="CR38" s="349"/>
      <c r="CS38" s="349"/>
      <c r="CT38" s="349"/>
      <c r="CU38" s="349"/>
      <c r="CV38" s="349"/>
      <c r="CW38" s="349"/>
      <c r="CX38" s="349"/>
      <c r="CY38" s="4"/>
      <c r="CZ38" s="3"/>
      <c r="DA38" s="3"/>
      <c r="DB38" s="3"/>
      <c r="DC38" s="3"/>
      <c r="DD38" s="3"/>
    </row>
    <row r="39" spans="2:108" ht="19.5" customHeight="1" x14ac:dyDescent="0.3">
      <c r="B39" s="20"/>
      <c r="C39" s="21"/>
      <c r="D39" s="22"/>
      <c r="E39" s="22"/>
      <c r="F39" s="268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308"/>
      <c r="U39" s="288"/>
      <c r="V39" s="289"/>
      <c r="W39" s="289"/>
      <c r="X39" s="289"/>
      <c r="Y39" s="289"/>
      <c r="Z39" s="289"/>
      <c r="AA39" s="289"/>
      <c r="AB39" s="290"/>
      <c r="AC39" s="311"/>
      <c r="AD39" s="312"/>
      <c r="AE39" s="313"/>
      <c r="AF39" s="312"/>
      <c r="AG39" s="313"/>
      <c r="AH39" s="314"/>
      <c r="AI39" s="311"/>
      <c r="AJ39" s="312"/>
      <c r="AK39" s="313"/>
      <c r="AL39" s="312"/>
      <c r="AM39" s="313"/>
      <c r="AN39" s="314"/>
      <c r="AO39" s="268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70"/>
      <c r="BA39" s="4"/>
      <c r="BB39" s="4"/>
      <c r="BC39" s="101"/>
      <c r="BD39" s="101"/>
      <c r="BE39" s="98">
        <v>5</v>
      </c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37"/>
      <c r="CA39" s="337"/>
      <c r="CB39" s="337"/>
      <c r="CC39" s="337"/>
      <c r="CD39" s="345"/>
      <c r="CE39" s="345"/>
      <c r="CF39" s="345"/>
      <c r="CG39" s="345"/>
      <c r="CH39" s="346"/>
      <c r="CI39" s="339"/>
      <c r="CJ39" s="339"/>
      <c r="CK39" s="339"/>
      <c r="CL39" s="339"/>
      <c r="CM39" s="347"/>
      <c r="CN39" s="340"/>
      <c r="CO39" s="349"/>
      <c r="CP39" s="349"/>
      <c r="CQ39" s="349"/>
      <c r="CR39" s="349"/>
      <c r="CS39" s="349"/>
      <c r="CT39" s="349"/>
      <c r="CU39" s="349"/>
      <c r="CV39" s="349"/>
      <c r="CW39" s="349"/>
      <c r="CX39" s="349"/>
      <c r="CY39" s="4"/>
      <c r="CZ39" s="3"/>
      <c r="DA39" s="3"/>
      <c r="DB39" s="3"/>
      <c r="DC39" s="3"/>
      <c r="DD39" s="3"/>
    </row>
    <row r="40" spans="2:108" ht="19.5" customHeight="1" thickBot="1" x14ac:dyDescent="0.35">
      <c r="B40" s="23"/>
      <c r="C40" s="24"/>
      <c r="D40" s="25"/>
      <c r="E40" s="25"/>
      <c r="F40" s="284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334"/>
      <c r="U40" s="318"/>
      <c r="V40" s="319"/>
      <c r="W40" s="319"/>
      <c r="X40" s="319"/>
      <c r="Y40" s="319"/>
      <c r="Z40" s="319"/>
      <c r="AA40" s="319"/>
      <c r="AB40" s="320"/>
      <c r="AC40" s="315"/>
      <c r="AD40" s="321"/>
      <c r="AE40" s="322"/>
      <c r="AF40" s="321"/>
      <c r="AG40" s="322"/>
      <c r="AH40" s="317"/>
      <c r="AI40" s="315"/>
      <c r="AJ40" s="321"/>
      <c r="AK40" s="322"/>
      <c r="AL40" s="321"/>
      <c r="AM40" s="322"/>
      <c r="AN40" s="317"/>
      <c r="AO40" s="284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6"/>
      <c r="BA40" s="4"/>
      <c r="BB40" s="4"/>
      <c r="BC40" s="101"/>
      <c r="BD40" s="101"/>
      <c r="BE40" s="98">
        <v>6</v>
      </c>
      <c r="BF40" s="342"/>
      <c r="BG40" s="342"/>
      <c r="BH40" s="342"/>
      <c r="BI40" s="342"/>
      <c r="BJ40" s="342"/>
      <c r="BK40" s="342"/>
      <c r="BL40" s="342"/>
      <c r="BM40" s="342"/>
      <c r="BN40" s="342"/>
      <c r="BO40" s="342"/>
      <c r="BP40" s="342"/>
      <c r="BQ40" s="342"/>
      <c r="BR40" s="342"/>
      <c r="BS40" s="342"/>
      <c r="BT40" s="342"/>
      <c r="BU40" s="342"/>
      <c r="BV40" s="342"/>
      <c r="BW40" s="342"/>
      <c r="BX40" s="342"/>
      <c r="BY40" s="342"/>
      <c r="BZ40" s="337"/>
      <c r="CA40" s="337"/>
      <c r="CB40" s="337"/>
      <c r="CC40" s="337"/>
      <c r="CD40" s="359"/>
      <c r="CE40" s="359"/>
      <c r="CF40" s="359"/>
      <c r="CG40" s="359"/>
      <c r="CH40" s="360"/>
      <c r="CI40" s="339"/>
      <c r="CJ40" s="339"/>
      <c r="CK40" s="339"/>
      <c r="CL40" s="339"/>
      <c r="CM40" s="347"/>
      <c r="CN40" s="340"/>
      <c r="CO40" s="343"/>
      <c r="CP40" s="343"/>
      <c r="CQ40" s="343"/>
      <c r="CR40" s="343"/>
      <c r="CS40" s="343"/>
      <c r="CT40" s="343"/>
      <c r="CU40" s="343"/>
      <c r="CV40" s="343"/>
      <c r="CW40" s="343"/>
      <c r="CX40" s="343"/>
      <c r="CY40" s="4"/>
      <c r="CZ40" s="3"/>
      <c r="DA40" s="3"/>
      <c r="DB40" s="3"/>
      <c r="DC40" s="3"/>
      <c r="DD40" s="3"/>
    </row>
    <row r="41" spans="2:108" ht="19.5" customHeight="1" x14ac:dyDescent="0.3">
      <c r="CY41" s="4"/>
      <c r="CZ41" s="3"/>
      <c r="DA41" s="3"/>
      <c r="DB41" s="3"/>
      <c r="DC41" s="3"/>
      <c r="DD41" s="3"/>
    </row>
  </sheetData>
  <mergeCells count="306">
    <mergeCell ref="BZ17:CC17"/>
    <mergeCell ref="BZ18:CC18"/>
    <mergeCell ref="BZ19:CC19"/>
    <mergeCell ref="BZ20:CC20"/>
    <mergeCell ref="BZ21:CC21"/>
    <mergeCell ref="BZ22:CC22"/>
    <mergeCell ref="BJ3:CO3"/>
    <mergeCell ref="CP3:CX3"/>
    <mergeCell ref="I3:AR3"/>
    <mergeCell ref="AS3:AZ3"/>
    <mergeCell ref="BZ38:CC38"/>
    <mergeCell ref="CI38:CM38"/>
    <mergeCell ref="BZ39:CC39"/>
    <mergeCell ref="CI39:CM39"/>
    <mergeCell ref="BZ40:CC40"/>
    <mergeCell ref="CI40:CM40"/>
    <mergeCell ref="BZ35:CC35"/>
    <mergeCell ref="CI35:CM35"/>
    <mergeCell ref="BZ36:CC36"/>
    <mergeCell ref="CI36:CM36"/>
    <mergeCell ref="BZ37:CC37"/>
    <mergeCell ref="CI37:CM37"/>
    <mergeCell ref="BZ29:CC29"/>
    <mergeCell ref="BZ30:CC30"/>
    <mergeCell ref="BZ31:CC31"/>
    <mergeCell ref="BZ32:CC32"/>
    <mergeCell ref="BZ33:CC33"/>
    <mergeCell ref="BZ34:CC34"/>
    <mergeCell ref="CI29:CM29"/>
    <mergeCell ref="CI30:CM30"/>
    <mergeCell ref="CI31:CM31"/>
    <mergeCell ref="CI32:CM32"/>
    <mergeCell ref="CI33:CM33"/>
    <mergeCell ref="CI34:CM34"/>
    <mergeCell ref="CI23:CM23"/>
    <mergeCell ref="CI24:CM24"/>
    <mergeCell ref="CI25:CM25"/>
    <mergeCell ref="CI26:CM26"/>
    <mergeCell ref="CI27:CM27"/>
    <mergeCell ref="CI28:CM28"/>
    <mergeCell ref="CI17:CM17"/>
    <mergeCell ref="CI18:CM18"/>
    <mergeCell ref="CI19:CM19"/>
    <mergeCell ref="CI20:CM20"/>
    <mergeCell ref="CI21:CM21"/>
    <mergeCell ref="CI22:CM22"/>
    <mergeCell ref="CI11:CM11"/>
    <mergeCell ref="CI12:CM12"/>
    <mergeCell ref="CI13:CM13"/>
    <mergeCell ref="CI14:CM14"/>
    <mergeCell ref="CI15:CM15"/>
    <mergeCell ref="CI16:CM16"/>
    <mergeCell ref="BF39:BY39"/>
    <mergeCell ref="CO39:CX39"/>
    <mergeCell ref="BF40:BY40"/>
    <mergeCell ref="CO40:CX40"/>
    <mergeCell ref="BZ11:CC11"/>
    <mergeCell ref="BZ12:CC12"/>
    <mergeCell ref="BZ13:CC13"/>
    <mergeCell ref="BZ14:CC14"/>
    <mergeCell ref="BZ15:CC15"/>
    <mergeCell ref="BZ16:CC16"/>
    <mergeCell ref="BF37:BY37"/>
    <mergeCell ref="CO37:CX37"/>
    <mergeCell ref="BF38:BY38"/>
    <mergeCell ref="CO38:CX38"/>
    <mergeCell ref="U39:AB40"/>
    <mergeCell ref="AC39:AD40"/>
    <mergeCell ref="AE39:AF40"/>
    <mergeCell ref="AG39:AH40"/>
    <mergeCell ref="AI39:AJ40"/>
    <mergeCell ref="AK39:AL40"/>
    <mergeCell ref="BF35:BY35"/>
    <mergeCell ref="CD35:CH40"/>
    <mergeCell ref="CO35:CX35"/>
    <mergeCell ref="BF36:BY36"/>
    <mergeCell ref="CO36:CX36"/>
    <mergeCell ref="U37:AB38"/>
    <mergeCell ref="AC37:AD38"/>
    <mergeCell ref="AE37:AF38"/>
    <mergeCell ref="AG37:AH38"/>
    <mergeCell ref="AI37:AJ38"/>
    <mergeCell ref="AG35:AH36"/>
    <mergeCell ref="AI35:AJ36"/>
    <mergeCell ref="AK35:AL36"/>
    <mergeCell ref="AM35:AN36"/>
    <mergeCell ref="AO35:AZ40"/>
    <mergeCell ref="BC35:BD40"/>
    <mergeCell ref="AK37:AL38"/>
    <mergeCell ref="AM37:AN38"/>
    <mergeCell ref="AM39:AN40"/>
    <mergeCell ref="BF33:BY33"/>
    <mergeCell ref="CO33:CX33"/>
    <mergeCell ref="BF34:BY34"/>
    <mergeCell ref="CO34:CX34"/>
    <mergeCell ref="B35:C40"/>
    <mergeCell ref="D35:E40"/>
    <mergeCell ref="F35:T40"/>
    <mergeCell ref="U35:AB36"/>
    <mergeCell ref="AC35:AD36"/>
    <mergeCell ref="AE35:AF36"/>
    <mergeCell ref="BF31:BY31"/>
    <mergeCell ref="CO31:CX31"/>
    <mergeCell ref="BF32:BY32"/>
    <mergeCell ref="CO32:CX32"/>
    <mergeCell ref="U33:AB34"/>
    <mergeCell ref="AC33:AD34"/>
    <mergeCell ref="AE33:AF34"/>
    <mergeCell ref="AG33:AH34"/>
    <mergeCell ref="AI33:AJ34"/>
    <mergeCell ref="AK33:AL34"/>
    <mergeCell ref="BF29:BY29"/>
    <mergeCell ref="CD29:CH34"/>
    <mergeCell ref="CO29:CX29"/>
    <mergeCell ref="BF30:BY30"/>
    <mergeCell ref="CO30:CX30"/>
    <mergeCell ref="U31:AB32"/>
    <mergeCell ref="AC31:AD32"/>
    <mergeCell ref="AE31:AF32"/>
    <mergeCell ref="AG31:AH32"/>
    <mergeCell ref="AI31:AJ32"/>
    <mergeCell ref="AG29:AH30"/>
    <mergeCell ref="AI29:AJ30"/>
    <mergeCell ref="AK29:AL30"/>
    <mergeCell ref="AM29:AN30"/>
    <mergeCell ref="AO29:AZ34"/>
    <mergeCell ref="BC29:BD34"/>
    <mergeCell ref="AK31:AL32"/>
    <mergeCell ref="AM31:AN32"/>
    <mergeCell ref="AM33:AN34"/>
    <mergeCell ref="B29:C34"/>
    <mergeCell ref="D29:E34"/>
    <mergeCell ref="F29:T34"/>
    <mergeCell ref="U29:AB30"/>
    <mergeCell ref="AC29:AD30"/>
    <mergeCell ref="AE29:AF30"/>
    <mergeCell ref="BF27:BY27"/>
    <mergeCell ref="BZ27:CC27"/>
    <mergeCell ref="CO27:CX27"/>
    <mergeCell ref="F28:T28"/>
    <mergeCell ref="BF28:BY28"/>
    <mergeCell ref="BZ28:CC28"/>
    <mergeCell ref="CO28:CX28"/>
    <mergeCell ref="BF25:BY25"/>
    <mergeCell ref="BZ25:CC25"/>
    <mergeCell ref="CO25:CX25"/>
    <mergeCell ref="F26:T27"/>
    <mergeCell ref="BF26:BY26"/>
    <mergeCell ref="BZ26:CC26"/>
    <mergeCell ref="CO26:CX26"/>
    <mergeCell ref="U27:AB28"/>
    <mergeCell ref="AC27:AD28"/>
    <mergeCell ref="AE27:AF28"/>
    <mergeCell ref="AC25:AD26"/>
    <mergeCell ref="AE25:AF26"/>
    <mergeCell ref="AG25:AH26"/>
    <mergeCell ref="AI25:AJ26"/>
    <mergeCell ref="AK25:AL26"/>
    <mergeCell ref="AM25:AN26"/>
    <mergeCell ref="BF23:BY23"/>
    <mergeCell ref="BZ23:CC23"/>
    <mergeCell ref="CD23:CH28"/>
    <mergeCell ref="CO23:CX23"/>
    <mergeCell ref="F24:T24"/>
    <mergeCell ref="BF24:BY24"/>
    <mergeCell ref="BZ24:CC24"/>
    <mergeCell ref="CO24:CX24"/>
    <mergeCell ref="F25:T25"/>
    <mergeCell ref="U25:AB26"/>
    <mergeCell ref="AG23:AH24"/>
    <mergeCell ref="AI23:AJ24"/>
    <mergeCell ref="AK23:AL24"/>
    <mergeCell ref="AM23:AN24"/>
    <mergeCell ref="AO23:AZ28"/>
    <mergeCell ref="BC23:BD28"/>
    <mergeCell ref="AG27:AH28"/>
    <mergeCell ref="AI27:AJ28"/>
    <mergeCell ref="AK27:AL28"/>
    <mergeCell ref="AM27:AN28"/>
    <mergeCell ref="BF21:BY21"/>
    <mergeCell ref="CO21:CX21"/>
    <mergeCell ref="BF22:BY22"/>
    <mergeCell ref="CO22:CX22"/>
    <mergeCell ref="B23:C28"/>
    <mergeCell ref="D23:E28"/>
    <mergeCell ref="F23:T23"/>
    <mergeCell ref="U23:AB24"/>
    <mergeCell ref="AC23:AD24"/>
    <mergeCell ref="AE23:AF24"/>
    <mergeCell ref="U21:AB22"/>
    <mergeCell ref="AC21:AD22"/>
    <mergeCell ref="AE21:AF22"/>
    <mergeCell ref="AG21:AH22"/>
    <mergeCell ref="AI21:AJ22"/>
    <mergeCell ref="AK21:AL22"/>
    <mergeCell ref="U19:AB20"/>
    <mergeCell ref="AC19:AD20"/>
    <mergeCell ref="AE19:AF20"/>
    <mergeCell ref="AG19:AH20"/>
    <mergeCell ref="AI19:AJ20"/>
    <mergeCell ref="AK19:AL20"/>
    <mergeCell ref="BF17:BY17"/>
    <mergeCell ref="CD17:CH22"/>
    <mergeCell ref="CO17:CX17"/>
    <mergeCell ref="BF18:BY18"/>
    <mergeCell ref="CO18:CX18"/>
    <mergeCell ref="BF19:BY19"/>
    <mergeCell ref="CO19:CX19"/>
    <mergeCell ref="BF20:BY20"/>
    <mergeCell ref="CO20:CX20"/>
    <mergeCell ref="AG17:AH18"/>
    <mergeCell ref="AI17:AJ18"/>
    <mergeCell ref="AK17:AL18"/>
    <mergeCell ref="AM17:AN18"/>
    <mergeCell ref="AO17:AZ22"/>
    <mergeCell ref="BC17:BD22"/>
    <mergeCell ref="AM19:AN20"/>
    <mergeCell ref="AM21:AN22"/>
    <mergeCell ref="BF15:BY15"/>
    <mergeCell ref="CO15:CX15"/>
    <mergeCell ref="BF16:BY16"/>
    <mergeCell ref="CO16:CX16"/>
    <mergeCell ref="B17:C22"/>
    <mergeCell ref="D17:E22"/>
    <mergeCell ref="F17:T22"/>
    <mergeCell ref="U17:AB18"/>
    <mergeCell ref="AC17:AD18"/>
    <mergeCell ref="AE17:AF18"/>
    <mergeCell ref="CO13:CX13"/>
    <mergeCell ref="BF14:BY14"/>
    <mergeCell ref="CO14:CX14"/>
    <mergeCell ref="U15:AB16"/>
    <mergeCell ref="AC15:AD16"/>
    <mergeCell ref="AE15:AF16"/>
    <mergeCell ref="AG15:AH16"/>
    <mergeCell ref="AI15:AJ16"/>
    <mergeCell ref="AK15:AL16"/>
    <mergeCell ref="AM15:AN16"/>
    <mergeCell ref="U13:AB14"/>
    <mergeCell ref="AC13:AD14"/>
    <mergeCell ref="AE13:AF14"/>
    <mergeCell ref="AG13:AH14"/>
    <mergeCell ref="AI13:AJ14"/>
    <mergeCell ref="AK13:AL14"/>
    <mergeCell ref="AM11:AN12"/>
    <mergeCell ref="AO11:AZ16"/>
    <mergeCell ref="BC11:BD16"/>
    <mergeCell ref="BF11:BY11"/>
    <mergeCell ref="CD11:CH16"/>
    <mergeCell ref="CO11:CX11"/>
    <mergeCell ref="BF12:BY12"/>
    <mergeCell ref="CO12:CX12"/>
    <mergeCell ref="AM13:AN14"/>
    <mergeCell ref="BF13:BY13"/>
    <mergeCell ref="AM9:AN10"/>
    <mergeCell ref="B11:C16"/>
    <mergeCell ref="D11:E16"/>
    <mergeCell ref="F11:T16"/>
    <mergeCell ref="U11:AB12"/>
    <mergeCell ref="AC11:AD12"/>
    <mergeCell ref="AE11:AF12"/>
    <mergeCell ref="AG11:AH12"/>
    <mergeCell ref="AI11:AJ12"/>
    <mergeCell ref="AK11:AL12"/>
    <mergeCell ref="BE8:BY10"/>
    <mergeCell ref="BZ8:CC10"/>
    <mergeCell ref="CD8:CH10"/>
    <mergeCell ref="CI8:CM10"/>
    <mergeCell ref="CN8:CX10"/>
    <mergeCell ref="AC9:AD10"/>
    <mergeCell ref="AE9:AF10"/>
    <mergeCell ref="AG9:AH10"/>
    <mergeCell ref="AI9:AJ10"/>
    <mergeCell ref="AK9:AL10"/>
    <mergeCell ref="B7:AZ7"/>
    <mergeCell ref="BC7:CX7"/>
    <mergeCell ref="B8:C10"/>
    <mergeCell ref="D8:E10"/>
    <mergeCell ref="F8:T10"/>
    <mergeCell ref="U8:AB10"/>
    <mergeCell ref="AC8:AH8"/>
    <mergeCell ref="AI8:AN8"/>
    <mergeCell ref="AO8:AZ10"/>
    <mergeCell ref="BC8:BD10"/>
    <mergeCell ref="I6:AR6"/>
    <mergeCell ref="AS6:AV6"/>
    <mergeCell ref="AW6:AZ6"/>
    <mergeCell ref="BJ6:CO6"/>
    <mergeCell ref="CP6:CT6"/>
    <mergeCell ref="CU6:CX6"/>
    <mergeCell ref="CP4:CT4"/>
    <mergeCell ref="CU4:CX4"/>
    <mergeCell ref="AS5:AV5"/>
    <mergeCell ref="AW5:AZ5"/>
    <mergeCell ref="CP5:CT5"/>
    <mergeCell ref="CU5:CX5"/>
    <mergeCell ref="B2:H6"/>
    <mergeCell ref="I2:AR2"/>
    <mergeCell ref="AS2:AZ2"/>
    <mergeCell ref="BC2:BI6"/>
    <mergeCell ref="BJ2:CO2"/>
    <mergeCell ref="CP2:CX2"/>
    <mergeCell ref="I4:AR5"/>
    <mergeCell ref="AS4:AV4"/>
    <mergeCell ref="AW4:AZ4"/>
    <mergeCell ref="BJ4:CO5"/>
  </mergeCells>
  <conditionalFormatting sqref="AC11:AN40">
    <cfRule type="iconSet" priority="1">
      <iconSet iconSet="3Symbols2" showValue="0">
        <cfvo type="percent" val="0"/>
        <cfvo type="num" val="1"/>
        <cfvo type="num" val="2"/>
      </iconSet>
    </cfRule>
  </conditionalFormatting>
  <printOptions horizontalCentered="1"/>
  <pageMargins left="0.19685039370078741" right="0" top="0" bottom="0" header="0" footer="0"/>
  <pageSetup scale="68" pageOrder="overThenDown" orientation="landscape" r:id="rId1"/>
  <headerFooter>
    <oddHeader>&amp;L&amp;"Arial"&amp;8&amp;K000000 INTERNAL&amp;1#_x000D_</oddHeader>
    <oddFooter>&amp;R&amp;P</oddFooter>
  </headerFooter>
  <colBreaks count="1" manualBreakCount="1">
    <brk id="53" max="1048575" man="1"/>
  </colBreaks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4054-1475-453A-8953-0E2EA4B87FF9}">
  <dimension ref="A2:CQ39"/>
  <sheetViews>
    <sheetView showGridLines="0" view="pageBreakPreview" zoomScale="85" zoomScaleNormal="100" zoomScaleSheetLayoutView="85" zoomScalePageLayoutView="80" workbookViewId="0">
      <selection activeCell="BC23" sqref="BC23:CH24"/>
    </sheetView>
  </sheetViews>
  <sheetFormatPr defaultColWidth="3.6640625" defaultRowHeight="19.5" customHeight="1" x14ac:dyDescent="0.3"/>
  <cols>
    <col min="1" max="16384" width="3.6640625" style="1"/>
  </cols>
  <sheetData>
    <row r="2" spans="1:95" s="182" customFormat="1" ht="19.5" customHeight="1" x14ac:dyDescent="0.3">
      <c r="B2" s="201"/>
      <c r="C2" s="201"/>
      <c r="D2" s="201"/>
      <c r="E2" s="201"/>
      <c r="F2" s="201"/>
      <c r="G2" s="201"/>
      <c r="H2" s="201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3" t="str">
        <f>'[1]1.1'!$CI$2</f>
        <v>REGISTRO SENASICA</v>
      </c>
      <c r="AP2" s="203"/>
      <c r="AQ2" s="203"/>
      <c r="AR2" s="203"/>
      <c r="AS2" s="203"/>
      <c r="AT2" s="203"/>
      <c r="AU2" s="203"/>
      <c r="AV2" s="204"/>
      <c r="AX2" s="201"/>
      <c r="AY2" s="201"/>
      <c r="AZ2" s="201"/>
      <c r="BA2" s="201"/>
      <c r="BB2" s="201"/>
      <c r="BC2" s="201"/>
      <c r="BD2" s="201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202"/>
      <c r="BQ2" s="202"/>
      <c r="BR2" s="202"/>
      <c r="BS2" s="202"/>
      <c r="BT2" s="202"/>
      <c r="BU2" s="202"/>
      <c r="BV2" s="202"/>
      <c r="BW2" s="202"/>
      <c r="BX2" s="202"/>
      <c r="BY2" s="202"/>
      <c r="BZ2" s="202"/>
      <c r="CA2" s="202"/>
      <c r="CB2" s="202"/>
      <c r="CC2" s="202"/>
      <c r="CD2" s="202"/>
      <c r="CE2" s="202"/>
      <c r="CF2" s="202"/>
      <c r="CG2" s="202"/>
      <c r="CH2" s="202"/>
      <c r="CI2" s="205" t="str">
        <f t="shared" ref="CI2" si="0">$AO$2</f>
        <v>REGISTRO SENASICA</v>
      </c>
      <c r="CJ2" s="206"/>
      <c r="CK2" s="206"/>
      <c r="CL2" s="206"/>
      <c r="CM2" s="206"/>
      <c r="CN2" s="206"/>
      <c r="CO2" s="206"/>
      <c r="CP2" s="207"/>
      <c r="CQ2" s="204"/>
    </row>
    <row r="3" spans="1:95" s="182" customFormat="1" ht="19.5" customHeight="1" x14ac:dyDescent="0.3">
      <c r="B3" s="201"/>
      <c r="C3" s="201"/>
      <c r="D3" s="201"/>
      <c r="E3" s="201"/>
      <c r="F3" s="201"/>
      <c r="G3" s="201"/>
      <c r="H3" s="201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9"/>
      <c r="AO3" s="210"/>
      <c r="AP3" s="210"/>
      <c r="AQ3" s="210"/>
      <c r="AR3" s="210"/>
      <c r="AS3" s="210"/>
      <c r="AT3" s="210"/>
      <c r="AU3" s="210"/>
      <c r="AV3" s="204"/>
      <c r="AX3" s="201"/>
      <c r="AY3" s="201"/>
      <c r="AZ3" s="201"/>
      <c r="BA3" s="201"/>
      <c r="BB3" s="201"/>
      <c r="BC3" s="201"/>
      <c r="BD3" s="201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11"/>
      <c r="CJ3" s="211"/>
      <c r="CK3" s="211"/>
      <c r="CL3" s="211"/>
      <c r="CM3" s="211"/>
      <c r="CN3" s="211"/>
      <c r="CO3" s="211"/>
      <c r="CP3" s="212"/>
      <c r="CQ3" s="204"/>
    </row>
    <row r="4" spans="1:95" s="182" customFormat="1" ht="19.5" customHeight="1" x14ac:dyDescent="0.3">
      <c r="B4" s="201"/>
      <c r="C4" s="201"/>
      <c r="D4" s="201"/>
      <c r="E4" s="201"/>
      <c r="F4" s="201"/>
      <c r="G4" s="201"/>
      <c r="H4" s="201"/>
      <c r="I4" s="213" t="str">
        <f>'[1]1.1'!$H$74</f>
        <v>HISTORIAL PRODUCTIVO</v>
      </c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 t="str">
        <f>'[1]1.1'!CI4</f>
        <v>EMISIÓN</v>
      </c>
      <c r="AP4" s="214"/>
      <c r="AQ4" s="214"/>
      <c r="AR4" s="215">
        <f>'[1]1.1'!$BG$74</f>
        <v>45658</v>
      </c>
      <c r="AS4" s="210"/>
      <c r="AT4" s="210"/>
      <c r="AU4" s="210"/>
      <c r="AV4" s="216"/>
      <c r="AX4" s="201"/>
      <c r="AY4" s="201"/>
      <c r="AZ4" s="201"/>
      <c r="BA4" s="201"/>
      <c r="BB4" s="201"/>
      <c r="BC4" s="201"/>
      <c r="BD4" s="201"/>
      <c r="BE4" s="213" t="str">
        <f>'[1]1.1'!$H$74</f>
        <v>HISTORIAL PRODUCTIVO</v>
      </c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  <c r="BX4" s="213"/>
      <c r="BY4" s="213"/>
      <c r="BZ4" s="213"/>
      <c r="CA4" s="213"/>
      <c r="CB4" s="213"/>
      <c r="CC4" s="213"/>
      <c r="CD4" s="213"/>
      <c r="CE4" s="213"/>
      <c r="CF4" s="213"/>
      <c r="CG4" s="213"/>
      <c r="CH4" s="213"/>
      <c r="CI4" s="214" t="str">
        <f t="shared" ref="CI4" si="1">$AO$4</f>
        <v>EMISIÓN</v>
      </c>
      <c r="CJ4" s="214"/>
      <c r="CK4" s="214"/>
      <c r="CL4" s="214"/>
      <c r="CM4" s="215"/>
      <c r="CN4" s="210"/>
      <c r="CO4" s="210"/>
      <c r="CP4" s="210"/>
      <c r="CQ4" s="216"/>
    </row>
    <row r="5" spans="1:95" s="182" customFormat="1" ht="19.5" customHeight="1" x14ac:dyDescent="0.3">
      <c r="B5" s="201"/>
      <c r="C5" s="201"/>
      <c r="D5" s="201"/>
      <c r="E5" s="201"/>
      <c r="F5" s="201"/>
      <c r="G5" s="201"/>
      <c r="H5" s="201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4" t="str">
        <f>'[1]1.1'!CI5</f>
        <v>VIGENCIA</v>
      </c>
      <c r="AP5" s="214"/>
      <c r="AQ5" s="214"/>
      <c r="AR5" s="215">
        <f>'[1]1.1'!$CI$74</f>
        <v>46023</v>
      </c>
      <c r="AS5" s="210"/>
      <c r="AT5" s="210"/>
      <c r="AU5" s="210"/>
      <c r="AV5" s="217"/>
      <c r="AX5" s="201"/>
      <c r="AY5" s="201"/>
      <c r="AZ5" s="201"/>
      <c r="BA5" s="201"/>
      <c r="BB5" s="201"/>
      <c r="BC5" s="201"/>
      <c r="BD5" s="201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4" t="str">
        <f t="shared" ref="CI5" si="2">$AO$5</f>
        <v>VIGENCIA</v>
      </c>
      <c r="CJ5" s="214"/>
      <c r="CK5" s="214"/>
      <c r="CL5" s="214"/>
      <c r="CM5" s="215"/>
      <c r="CN5" s="210"/>
      <c r="CO5" s="210"/>
      <c r="CP5" s="210"/>
      <c r="CQ5" s="217"/>
    </row>
    <row r="6" spans="1:95" s="182" customFormat="1" ht="19.5" customHeight="1" thickBot="1" x14ac:dyDescent="0.35">
      <c r="B6" s="201"/>
      <c r="C6" s="201"/>
      <c r="D6" s="201"/>
      <c r="E6" s="201"/>
      <c r="F6" s="201"/>
      <c r="G6" s="201"/>
      <c r="H6" s="201"/>
      <c r="I6" s="219" t="str">
        <f>'[1]1.1'!D74</f>
        <v>DOC-9.1</v>
      </c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4" t="str">
        <f>'[1]1.1'!CI6</f>
        <v>VERSIÓN</v>
      </c>
      <c r="AP6" s="214"/>
      <c r="AQ6" s="214"/>
      <c r="AR6" s="220" t="str">
        <f>'[1]1.1'!$BD$74</f>
        <v>00</v>
      </c>
      <c r="AS6" s="210"/>
      <c r="AT6" s="210"/>
      <c r="AU6" s="210"/>
      <c r="AV6" s="204"/>
      <c r="AX6" s="201"/>
      <c r="AY6" s="201"/>
      <c r="AZ6" s="201"/>
      <c r="BA6" s="201"/>
      <c r="BB6" s="201"/>
      <c r="BC6" s="201"/>
      <c r="BD6" s="201"/>
      <c r="BE6" s="221" t="str">
        <f t="shared" ref="BE6" si="3">$I$6</f>
        <v>DOC-9.1</v>
      </c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14" t="str">
        <f t="shared" ref="CI6" si="4">$AO$6</f>
        <v>VERSIÓN</v>
      </c>
      <c r="CJ6" s="214"/>
      <c r="CK6" s="214"/>
      <c r="CL6" s="214"/>
      <c r="CM6" s="220"/>
      <c r="CN6" s="210"/>
      <c r="CO6" s="210"/>
      <c r="CP6" s="210"/>
      <c r="CQ6" s="204"/>
    </row>
    <row r="7" spans="1:95" ht="19.5" customHeight="1" x14ac:dyDescent="0.3"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X7" s="107"/>
      <c r="AY7" s="107"/>
      <c r="AZ7" s="107"/>
      <c r="BA7" s="107"/>
      <c r="BB7" s="107"/>
      <c r="BC7" s="107"/>
      <c r="BD7" s="107"/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7"/>
      <c r="CJ7" s="107"/>
      <c r="CK7" s="107"/>
      <c r="CL7" s="107"/>
      <c r="CM7" s="107"/>
      <c r="CN7" s="107"/>
      <c r="CO7" s="107"/>
      <c r="CP7" s="107"/>
    </row>
    <row r="8" spans="1:95" ht="19.5" customHeight="1" x14ac:dyDescent="0.3">
      <c r="B8" s="109" t="s">
        <v>20</v>
      </c>
      <c r="C8" s="109"/>
      <c r="D8" s="109"/>
      <c r="E8" s="109"/>
      <c r="F8" s="109"/>
      <c r="G8" s="121" t="s">
        <v>21</v>
      </c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06"/>
      <c r="AX8" s="111" t="s">
        <v>20</v>
      </c>
      <c r="AY8" s="111"/>
      <c r="AZ8" s="111"/>
      <c r="BA8" s="111"/>
      <c r="BB8" s="111"/>
      <c r="BC8" s="110" t="s">
        <v>95</v>
      </c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06"/>
    </row>
    <row r="9" spans="1:95" ht="19.5" customHeight="1" x14ac:dyDescent="0.3">
      <c r="B9" s="109"/>
      <c r="C9" s="109"/>
      <c r="D9" s="109"/>
      <c r="E9" s="109"/>
      <c r="F9" s="109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2"/>
      <c r="AX9" s="111"/>
      <c r="AY9" s="111"/>
      <c r="AZ9" s="111"/>
      <c r="BA9" s="111"/>
      <c r="BB9" s="111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2"/>
    </row>
    <row r="10" spans="1:95" s="182" customFormat="1" ht="19.5" customHeight="1" x14ac:dyDescent="0.3">
      <c r="B10" s="223" t="s">
        <v>22</v>
      </c>
      <c r="C10" s="223"/>
      <c r="D10" s="223"/>
      <c r="E10" s="223"/>
      <c r="F10" s="224"/>
      <c r="G10" s="224"/>
      <c r="H10" s="224"/>
      <c r="I10" s="223" t="s">
        <v>23</v>
      </c>
      <c r="J10" s="223"/>
      <c r="K10" s="223"/>
      <c r="L10" s="224"/>
      <c r="M10" s="224"/>
      <c r="N10" s="224"/>
      <c r="O10" s="224"/>
      <c r="P10" s="223" t="s">
        <v>24</v>
      </c>
      <c r="Q10" s="223"/>
      <c r="R10" s="223"/>
      <c r="S10" s="224"/>
      <c r="T10" s="224"/>
      <c r="U10" s="224"/>
      <c r="V10" s="224"/>
      <c r="W10" s="223" t="s">
        <v>25</v>
      </c>
      <c r="X10" s="223"/>
      <c r="Y10" s="223"/>
      <c r="Z10" s="225"/>
      <c r="AA10" s="225"/>
      <c r="AB10" s="223" t="s">
        <v>26</v>
      </c>
      <c r="AC10" s="223"/>
      <c r="AD10" s="223"/>
      <c r="AE10" s="223"/>
      <c r="AF10" s="223"/>
      <c r="AG10" s="223"/>
      <c r="AH10" s="223"/>
      <c r="AI10" s="223"/>
      <c r="AJ10" s="226"/>
      <c r="AK10" s="226"/>
      <c r="AL10" s="226"/>
      <c r="AM10" s="223" t="s">
        <v>27</v>
      </c>
      <c r="AN10" s="223"/>
      <c r="AO10" s="223"/>
      <c r="AP10" s="188" t="s">
        <v>28</v>
      </c>
      <c r="AQ10" s="188"/>
      <c r="AR10" s="188"/>
      <c r="AS10" s="188" t="s">
        <v>29</v>
      </c>
      <c r="AT10" s="188"/>
      <c r="AU10" s="188"/>
      <c r="AV10" s="197"/>
      <c r="AX10" s="138" t="s">
        <v>96</v>
      </c>
      <c r="AY10" s="139"/>
      <c r="AZ10" s="139"/>
      <c r="BA10" s="139"/>
      <c r="BB10" s="139"/>
      <c r="BC10" s="134"/>
      <c r="BD10" s="134"/>
      <c r="BE10" s="134"/>
      <c r="BF10" s="134"/>
      <c r="BG10" s="134"/>
      <c r="BH10" s="134"/>
      <c r="BI10" s="134"/>
      <c r="BJ10" s="139"/>
      <c r="BK10" s="139" t="s">
        <v>98</v>
      </c>
      <c r="BL10" s="139"/>
      <c r="BM10" s="227"/>
      <c r="BN10" s="227"/>
      <c r="BO10" s="227"/>
      <c r="BP10" s="140" t="s">
        <v>99</v>
      </c>
      <c r="BQ10" s="139"/>
      <c r="BR10" s="139"/>
      <c r="BS10" s="139"/>
      <c r="BT10" s="139"/>
      <c r="BU10" s="139"/>
      <c r="BV10" s="139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6" t="s">
        <v>100</v>
      </c>
      <c r="CJ10" s="131"/>
      <c r="CK10" s="131"/>
      <c r="CL10" s="131"/>
      <c r="CM10" s="131"/>
      <c r="CN10" s="131"/>
      <c r="CO10" s="131"/>
      <c r="CP10" s="230"/>
      <c r="CQ10" s="197"/>
    </row>
    <row r="11" spans="1:95" s="182" customFormat="1" ht="19.5" customHeight="1" x14ac:dyDescent="0.3">
      <c r="B11" s="223"/>
      <c r="C11" s="223"/>
      <c r="D11" s="223"/>
      <c r="E11" s="223"/>
      <c r="F11" s="224"/>
      <c r="G11" s="224"/>
      <c r="H11" s="224"/>
      <c r="I11" s="223"/>
      <c r="J11" s="223"/>
      <c r="K11" s="223"/>
      <c r="L11" s="224"/>
      <c r="M11" s="224"/>
      <c r="N11" s="224"/>
      <c r="O11" s="224"/>
      <c r="P11" s="223"/>
      <c r="Q11" s="223"/>
      <c r="R11" s="223"/>
      <c r="S11" s="224"/>
      <c r="T11" s="224"/>
      <c r="U11" s="224"/>
      <c r="V11" s="224"/>
      <c r="W11" s="223"/>
      <c r="X11" s="223"/>
      <c r="Y11" s="223"/>
      <c r="Z11" s="225"/>
      <c r="AA11" s="225"/>
      <c r="AB11" s="223" t="s">
        <v>30</v>
      </c>
      <c r="AC11" s="223"/>
      <c r="AD11" s="223"/>
      <c r="AE11" s="223"/>
      <c r="AF11" s="223"/>
      <c r="AG11" s="223"/>
      <c r="AH11" s="223"/>
      <c r="AI11" s="223"/>
      <c r="AJ11" s="226"/>
      <c r="AK11" s="226"/>
      <c r="AL11" s="226"/>
      <c r="AM11" s="223"/>
      <c r="AN11" s="223"/>
      <c r="AO11" s="223"/>
      <c r="AP11" s="228"/>
      <c r="AQ11" s="228"/>
      <c r="AR11" s="228"/>
      <c r="AS11" s="229"/>
      <c r="AT11" s="229"/>
      <c r="AU11" s="229"/>
      <c r="AV11" s="197"/>
      <c r="AX11" s="141" t="s">
        <v>97</v>
      </c>
      <c r="AY11" s="132"/>
      <c r="AZ11" s="132"/>
      <c r="BA11" s="132"/>
      <c r="BB11" s="132"/>
      <c r="BC11" s="136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230"/>
      <c r="CI11" s="137"/>
      <c r="CJ11" s="133"/>
      <c r="CK11" s="133"/>
      <c r="CL11" s="133"/>
      <c r="CM11" s="133"/>
      <c r="CN11" s="133"/>
      <c r="CO11" s="133"/>
      <c r="CP11" s="231"/>
      <c r="CQ11" s="197"/>
    </row>
    <row r="12" spans="1:95" ht="19.5" customHeight="1" x14ac:dyDescent="0.3">
      <c r="B12" s="120" t="s">
        <v>32</v>
      </c>
      <c r="C12" s="120"/>
      <c r="D12" s="120"/>
      <c r="E12" s="120"/>
      <c r="F12" s="126">
        <v>1</v>
      </c>
      <c r="G12" s="127">
        <v>2</v>
      </c>
      <c r="H12" s="126">
        <v>3</v>
      </c>
      <c r="I12" s="127">
        <v>4</v>
      </c>
      <c r="J12" s="126">
        <v>5</v>
      </c>
      <c r="K12" s="127">
        <v>6</v>
      </c>
      <c r="L12" s="126">
        <v>7</v>
      </c>
      <c r="M12" s="127">
        <v>8</v>
      </c>
      <c r="N12" s="126">
        <v>9</v>
      </c>
      <c r="O12" s="127">
        <v>10</v>
      </c>
      <c r="P12" s="126">
        <v>11</v>
      </c>
      <c r="Q12" s="127">
        <v>12</v>
      </c>
      <c r="R12" s="126">
        <v>13</v>
      </c>
      <c r="S12" s="127">
        <v>14</v>
      </c>
      <c r="T12" s="126">
        <v>15</v>
      </c>
      <c r="U12" s="127">
        <v>16</v>
      </c>
      <c r="V12" s="126">
        <v>17</v>
      </c>
      <c r="W12" s="127">
        <v>18</v>
      </c>
      <c r="X12" s="126">
        <v>19</v>
      </c>
      <c r="Y12" s="127">
        <v>20</v>
      </c>
      <c r="Z12" s="126">
        <v>21</v>
      </c>
      <c r="AA12" s="127">
        <v>22</v>
      </c>
      <c r="AB12" s="126">
        <v>23</v>
      </c>
      <c r="AC12" s="127">
        <v>24</v>
      </c>
      <c r="AD12" s="126">
        <v>25</v>
      </c>
      <c r="AE12" s="127">
        <v>26</v>
      </c>
      <c r="AF12" s="126">
        <v>27</v>
      </c>
      <c r="AG12" s="127">
        <v>28</v>
      </c>
      <c r="AH12" s="126">
        <v>29</v>
      </c>
      <c r="AI12" s="127">
        <v>30</v>
      </c>
      <c r="AJ12" s="126">
        <v>31</v>
      </c>
      <c r="AK12" s="129" t="s">
        <v>33</v>
      </c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2"/>
      <c r="AX12" s="117"/>
      <c r="AY12" s="142"/>
      <c r="AZ12" s="142"/>
      <c r="BA12" s="142"/>
      <c r="BB12" s="142"/>
      <c r="BC12" s="143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232"/>
      <c r="CI12" s="143"/>
      <c r="CJ12" s="135"/>
      <c r="CK12" s="135"/>
      <c r="CL12" s="135"/>
      <c r="CM12" s="135"/>
      <c r="CN12" s="135"/>
      <c r="CO12" s="135"/>
      <c r="CP12" s="232"/>
      <c r="CQ12" s="2"/>
    </row>
    <row r="13" spans="1:95" ht="19.5" customHeight="1" x14ac:dyDescent="0.3">
      <c r="A13" s="108"/>
      <c r="B13" s="128" t="s">
        <v>35</v>
      </c>
      <c r="C13" s="128"/>
      <c r="D13" s="128"/>
      <c r="E13" s="128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125" t="s">
        <v>36</v>
      </c>
      <c r="AL13" s="124"/>
      <c r="AM13" s="122" t="s">
        <v>37</v>
      </c>
      <c r="AN13" s="122"/>
      <c r="AO13" s="122"/>
      <c r="AP13" s="122"/>
      <c r="AQ13" s="122"/>
      <c r="AR13" s="122"/>
      <c r="AS13" s="122"/>
      <c r="AT13" s="122"/>
      <c r="AU13" s="122"/>
      <c r="AV13" s="2"/>
      <c r="AW13" s="108"/>
      <c r="AX13" s="138" t="s">
        <v>96</v>
      </c>
      <c r="AY13" s="139"/>
      <c r="AZ13" s="139"/>
      <c r="BA13" s="139"/>
      <c r="BB13" s="139"/>
      <c r="BC13" s="134"/>
      <c r="BD13" s="134"/>
      <c r="BE13" s="134"/>
      <c r="BF13" s="134"/>
      <c r="BG13" s="134"/>
      <c r="BH13" s="134"/>
      <c r="BI13" s="134"/>
      <c r="BJ13" s="139"/>
      <c r="BK13" s="139" t="s">
        <v>98</v>
      </c>
      <c r="BL13" s="139"/>
      <c r="BM13" s="227"/>
      <c r="BN13" s="227"/>
      <c r="BO13" s="227"/>
      <c r="BP13" s="140" t="s">
        <v>99</v>
      </c>
      <c r="BQ13" s="139"/>
      <c r="BR13" s="139"/>
      <c r="BS13" s="139"/>
      <c r="BT13" s="139"/>
      <c r="BU13" s="139"/>
      <c r="BV13" s="139"/>
      <c r="BW13" s="134"/>
      <c r="BX13" s="134"/>
      <c r="BY13" s="134"/>
      <c r="BZ13" s="134"/>
      <c r="CA13" s="134"/>
      <c r="CB13" s="134"/>
      <c r="CC13" s="134"/>
      <c r="CD13" s="134"/>
      <c r="CE13" s="134"/>
      <c r="CF13" s="134"/>
      <c r="CG13" s="134"/>
      <c r="CH13" s="134"/>
      <c r="CI13" s="136" t="s">
        <v>100</v>
      </c>
      <c r="CJ13" s="131"/>
      <c r="CK13" s="131"/>
      <c r="CL13" s="131"/>
      <c r="CM13" s="131"/>
      <c r="CN13" s="131"/>
      <c r="CO13" s="131"/>
      <c r="CP13" s="230"/>
      <c r="CQ13" s="2"/>
    </row>
    <row r="14" spans="1:95" ht="19.5" customHeight="1" x14ac:dyDescent="0.3">
      <c r="A14" s="108"/>
      <c r="B14" s="128"/>
      <c r="C14" s="128"/>
      <c r="D14" s="128"/>
      <c r="E14" s="128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125"/>
      <c r="AL14" s="124"/>
      <c r="AM14" s="122"/>
      <c r="AN14" s="122"/>
      <c r="AO14" s="122"/>
      <c r="AP14" s="122"/>
      <c r="AQ14" s="122"/>
      <c r="AR14" s="122"/>
      <c r="AS14" s="122"/>
      <c r="AT14" s="122"/>
      <c r="AU14" s="122"/>
      <c r="AV14" s="2"/>
      <c r="AW14" s="108"/>
      <c r="AX14" s="141" t="s">
        <v>97</v>
      </c>
      <c r="AY14" s="132"/>
      <c r="AZ14" s="132"/>
      <c r="BA14" s="132"/>
      <c r="BB14" s="132"/>
      <c r="BC14" s="136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230"/>
      <c r="CI14" s="137"/>
      <c r="CJ14" s="133"/>
      <c r="CK14" s="133"/>
      <c r="CL14" s="133"/>
      <c r="CM14" s="133"/>
      <c r="CN14" s="133"/>
      <c r="CO14" s="133"/>
      <c r="CP14" s="231"/>
      <c r="CQ14" s="2"/>
    </row>
    <row r="15" spans="1:95" ht="19.5" customHeight="1" x14ac:dyDescent="0.3">
      <c r="A15" s="108"/>
      <c r="B15" s="128" t="s">
        <v>38</v>
      </c>
      <c r="C15" s="128"/>
      <c r="D15" s="128"/>
      <c r="E15" s="128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125" t="s">
        <v>39</v>
      </c>
      <c r="AL15" s="124"/>
      <c r="AM15" s="122" t="s">
        <v>40</v>
      </c>
      <c r="AN15" s="122"/>
      <c r="AO15" s="122"/>
      <c r="AP15" s="122"/>
      <c r="AQ15" s="122"/>
      <c r="AR15" s="122"/>
      <c r="AS15" s="122"/>
      <c r="AT15" s="122"/>
      <c r="AU15" s="122"/>
      <c r="AV15" s="2"/>
      <c r="AW15" s="108"/>
      <c r="AX15" s="117"/>
      <c r="AY15" s="142"/>
      <c r="AZ15" s="142"/>
      <c r="BA15" s="142"/>
      <c r="BB15" s="142"/>
      <c r="BC15" s="143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232"/>
      <c r="CI15" s="143"/>
      <c r="CJ15" s="135"/>
      <c r="CK15" s="135"/>
      <c r="CL15" s="135"/>
      <c r="CM15" s="135"/>
      <c r="CN15" s="135"/>
      <c r="CO15" s="135"/>
      <c r="CP15" s="232"/>
      <c r="CQ15" s="2"/>
    </row>
    <row r="16" spans="1:95" ht="19.5" customHeight="1" x14ac:dyDescent="0.3">
      <c r="A16" s="108"/>
      <c r="B16" s="128"/>
      <c r="C16" s="128"/>
      <c r="D16" s="128"/>
      <c r="E16" s="128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125"/>
      <c r="AL16" s="124"/>
      <c r="AM16" s="122"/>
      <c r="AN16" s="122"/>
      <c r="AO16" s="122"/>
      <c r="AP16" s="122"/>
      <c r="AQ16" s="122"/>
      <c r="AR16" s="122"/>
      <c r="AS16" s="122"/>
      <c r="AT16" s="122"/>
      <c r="AU16" s="122"/>
      <c r="AV16" s="2"/>
      <c r="AW16" s="108"/>
      <c r="AX16" s="138" t="s">
        <v>96</v>
      </c>
      <c r="AY16" s="139"/>
      <c r="AZ16" s="139"/>
      <c r="BA16" s="139"/>
      <c r="BB16" s="139"/>
      <c r="BC16" s="134"/>
      <c r="BD16" s="134"/>
      <c r="BE16" s="134"/>
      <c r="BF16" s="134"/>
      <c r="BG16" s="134"/>
      <c r="BH16" s="134"/>
      <c r="BI16" s="134"/>
      <c r="BJ16" s="139"/>
      <c r="BK16" s="139" t="s">
        <v>98</v>
      </c>
      <c r="BL16" s="139"/>
      <c r="BM16" s="227"/>
      <c r="BN16" s="227"/>
      <c r="BO16" s="227"/>
      <c r="BP16" s="140" t="s">
        <v>99</v>
      </c>
      <c r="BQ16" s="139"/>
      <c r="BR16" s="139"/>
      <c r="BS16" s="139"/>
      <c r="BT16" s="139"/>
      <c r="BU16" s="139"/>
      <c r="BV16" s="139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6" t="s">
        <v>100</v>
      </c>
      <c r="CJ16" s="131"/>
      <c r="CK16" s="131"/>
      <c r="CL16" s="131"/>
      <c r="CM16" s="131"/>
      <c r="CN16" s="131"/>
      <c r="CO16" s="131"/>
      <c r="CP16" s="230"/>
      <c r="CQ16" s="2"/>
    </row>
    <row r="17" spans="1:95" ht="19.5" customHeight="1" x14ac:dyDescent="0.3">
      <c r="A17" s="108"/>
      <c r="B17" s="128" t="s">
        <v>41</v>
      </c>
      <c r="C17" s="128"/>
      <c r="D17" s="128"/>
      <c r="E17" s="128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125" t="s">
        <v>42</v>
      </c>
      <c r="AL17" s="124"/>
      <c r="AM17" s="122" t="s">
        <v>43</v>
      </c>
      <c r="AN17" s="122"/>
      <c r="AO17" s="122"/>
      <c r="AP17" s="122"/>
      <c r="AQ17" s="122"/>
      <c r="AR17" s="122"/>
      <c r="AS17" s="122"/>
      <c r="AT17" s="122"/>
      <c r="AU17" s="122"/>
      <c r="AV17" s="2"/>
      <c r="AW17" s="108"/>
      <c r="AX17" s="141" t="s">
        <v>97</v>
      </c>
      <c r="AY17" s="132"/>
      <c r="AZ17" s="132"/>
      <c r="BA17" s="132"/>
      <c r="BB17" s="132"/>
      <c r="BC17" s="136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230"/>
      <c r="CI17" s="137"/>
      <c r="CJ17" s="133"/>
      <c r="CK17" s="133"/>
      <c r="CL17" s="133"/>
      <c r="CM17" s="133"/>
      <c r="CN17" s="133"/>
      <c r="CO17" s="133"/>
      <c r="CP17" s="231"/>
      <c r="CQ17" s="2"/>
    </row>
    <row r="18" spans="1:95" ht="19.5" customHeight="1" x14ac:dyDescent="0.3">
      <c r="A18" s="108"/>
      <c r="B18" s="128"/>
      <c r="C18" s="128"/>
      <c r="D18" s="128"/>
      <c r="E18" s="128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125"/>
      <c r="AL18" s="124"/>
      <c r="AM18" s="122"/>
      <c r="AN18" s="122"/>
      <c r="AO18" s="122"/>
      <c r="AP18" s="122"/>
      <c r="AQ18" s="122"/>
      <c r="AR18" s="122"/>
      <c r="AS18" s="122"/>
      <c r="AT18" s="122"/>
      <c r="AU18" s="122"/>
      <c r="AV18" s="2"/>
      <c r="AW18" s="108"/>
      <c r="AX18" s="117"/>
      <c r="AY18" s="142"/>
      <c r="AZ18" s="142"/>
      <c r="BA18" s="142"/>
      <c r="BB18" s="142"/>
      <c r="BC18" s="143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232"/>
      <c r="CI18" s="143"/>
      <c r="CJ18" s="135"/>
      <c r="CK18" s="135"/>
      <c r="CL18" s="135"/>
      <c r="CM18" s="135"/>
      <c r="CN18" s="135"/>
      <c r="CO18" s="135"/>
      <c r="CP18" s="232"/>
      <c r="CQ18" s="2"/>
    </row>
    <row r="19" spans="1:95" ht="19.5" customHeight="1" x14ac:dyDescent="0.3">
      <c r="A19" s="108"/>
      <c r="B19" s="128" t="s">
        <v>44</v>
      </c>
      <c r="C19" s="128"/>
      <c r="D19" s="128"/>
      <c r="E19" s="128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125" t="s">
        <v>45</v>
      </c>
      <c r="AL19" s="124"/>
      <c r="AM19" s="122" t="s">
        <v>46</v>
      </c>
      <c r="AN19" s="122"/>
      <c r="AO19" s="122"/>
      <c r="AP19" s="122"/>
      <c r="AQ19" s="122"/>
      <c r="AR19" s="122"/>
      <c r="AS19" s="122"/>
      <c r="AT19" s="122"/>
      <c r="AU19" s="122"/>
      <c r="AV19" s="2"/>
      <c r="AW19" s="108"/>
      <c r="AX19" s="138" t="s">
        <v>96</v>
      </c>
      <c r="AY19" s="139"/>
      <c r="AZ19" s="139"/>
      <c r="BA19" s="139"/>
      <c r="BB19" s="139"/>
      <c r="BC19" s="134"/>
      <c r="BD19" s="134"/>
      <c r="BE19" s="134"/>
      <c r="BF19" s="134"/>
      <c r="BG19" s="134"/>
      <c r="BH19" s="134"/>
      <c r="BI19" s="134"/>
      <c r="BJ19" s="139"/>
      <c r="BK19" s="139" t="s">
        <v>98</v>
      </c>
      <c r="BL19" s="139"/>
      <c r="BM19" s="227"/>
      <c r="BN19" s="227"/>
      <c r="BO19" s="227"/>
      <c r="BP19" s="140" t="s">
        <v>99</v>
      </c>
      <c r="BQ19" s="139"/>
      <c r="BR19" s="139"/>
      <c r="BS19" s="139"/>
      <c r="BT19" s="139"/>
      <c r="BU19" s="139"/>
      <c r="BV19" s="139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6" t="s">
        <v>100</v>
      </c>
      <c r="CJ19" s="131"/>
      <c r="CK19" s="131"/>
      <c r="CL19" s="131"/>
      <c r="CM19" s="131"/>
      <c r="CN19" s="131"/>
      <c r="CO19" s="131"/>
      <c r="CP19" s="230"/>
      <c r="CQ19" s="2"/>
    </row>
    <row r="20" spans="1:95" ht="19.5" customHeight="1" x14ac:dyDescent="0.3">
      <c r="A20" s="108"/>
      <c r="B20" s="128"/>
      <c r="C20" s="128"/>
      <c r="D20" s="128"/>
      <c r="E20" s="128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125"/>
      <c r="AL20" s="124"/>
      <c r="AM20" s="122"/>
      <c r="AN20" s="122"/>
      <c r="AO20" s="122"/>
      <c r="AP20" s="122"/>
      <c r="AQ20" s="122"/>
      <c r="AR20" s="122"/>
      <c r="AS20" s="122"/>
      <c r="AT20" s="122"/>
      <c r="AU20" s="122"/>
      <c r="AV20" s="2"/>
      <c r="AW20" s="108"/>
      <c r="AX20" s="141" t="s">
        <v>97</v>
      </c>
      <c r="AY20" s="132"/>
      <c r="AZ20" s="132"/>
      <c r="BA20" s="132"/>
      <c r="BB20" s="132"/>
      <c r="BC20" s="136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230"/>
      <c r="CI20" s="137"/>
      <c r="CJ20" s="133"/>
      <c r="CK20" s="133"/>
      <c r="CL20" s="133"/>
      <c r="CM20" s="133"/>
      <c r="CN20" s="133"/>
      <c r="CO20" s="133"/>
      <c r="CP20" s="231"/>
      <c r="CQ20" s="2"/>
    </row>
    <row r="21" spans="1:95" ht="19.5" customHeight="1" x14ac:dyDescent="0.3">
      <c r="A21" s="108"/>
      <c r="B21" s="128" t="s">
        <v>47</v>
      </c>
      <c r="C21" s="128"/>
      <c r="D21" s="128"/>
      <c r="E21" s="128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125" t="s">
        <v>48</v>
      </c>
      <c r="AL21" s="124"/>
      <c r="AM21" s="122" t="s">
        <v>49</v>
      </c>
      <c r="AN21" s="122"/>
      <c r="AO21" s="122"/>
      <c r="AP21" s="122"/>
      <c r="AQ21" s="122"/>
      <c r="AR21" s="122"/>
      <c r="AS21" s="122"/>
      <c r="AT21" s="122"/>
      <c r="AU21" s="122"/>
      <c r="AV21" s="2"/>
      <c r="AW21" s="108"/>
      <c r="AX21" s="117"/>
      <c r="AY21" s="142"/>
      <c r="AZ21" s="142"/>
      <c r="BA21" s="142"/>
      <c r="BB21" s="142"/>
      <c r="BC21" s="143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232"/>
      <c r="CI21" s="143"/>
      <c r="CJ21" s="135"/>
      <c r="CK21" s="135"/>
      <c r="CL21" s="135"/>
      <c r="CM21" s="135"/>
      <c r="CN21" s="135"/>
      <c r="CO21" s="135"/>
      <c r="CP21" s="232"/>
      <c r="CQ21" s="2"/>
    </row>
    <row r="22" spans="1:95" ht="19.5" customHeight="1" x14ac:dyDescent="0.3">
      <c r="A22" s="108"/>
      <c r="B22" s="128"/>
      <c r="C22" s="128"/>
      <c r="D22" s="128"/>
      <c r="E22" s="128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125"/>
      <c r="AL22" s="124"/>
      <c r="AM22" s="122"/>
      <c r="AN22" s="122"/>
      <c r="AO22" s="122"/>
      <c r="AP22" s="122"/>
      <c r="AQ22" s="122"/>
      <c r="AR22" s="122"/>
      <c r="AS22" s="122"/>
      <c r="AT22" s="122"/>
      <c r="AU22" s="122"/>
      <c r="AV22" s="2"/>
      <c r="AW22" s="108"/>
      <c r="AX22" s="138" t="s">
        <v>96</v>
      </c>
      <c r="AY22" s="139"/>
      <c r="AZ22" s="139"/>
      <c r="BA22" s="139"/>
      <c r="BB22" s="139"/>
      <c r="BC22" s="134"/>
      <c r="BD22" s="134"/>
      <c r="BE22" s="134"/>
      <c r="BF22" s="134"/>
      <c r="BG22" s="134"/>
      <c r="BH22" s="134"/>
      <c r="BI22" s="134"/>
      <c r="BJ22" s="139"/>
      <c r="BK22" s="139" t="s">
        <v>98</v>
      </c>
      <c r="BL22" s="139"/>
      <c r="BM22" s="227"/>
      <c r="BN22" s="227"/>
      <c r="BO22" s="227"/>
      <c r="BP22" s="140" t="s">
        <v>99</v>
      </c>
      <c r="BQ22" s="139"/>
      <c r="BR22" s="139"/>
      <c r="BS22" s="139"/>
      <c r="BT22" s="139"/>
      <c r="BU22" s="139"/>
      <c r="BV22" s="139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6" t="s">
        <v>100</v>
      </c>
      <c r="CJ22" s="131"/>
      <c r="CK22" s="131"/>
      <c r="CL22" s="131"/>
      <c r="CM22" s="131"/>
      <c r="CN22" s="131"/>
      <c r="CO22" s="131"/>
      <c r="CP22" s="230"/>
      <c r="CQ22" s="2"/>
    </row>
    <row r="23" spans="1:95" ht="19.5" customHeight="1" x14ac:dyDescent="0.3">
      <c r="A23" s="108"/>
      <c r="B23" s="128" t="s">
        <v>50</v>
      </c>
      <c r="C23" s="128"/>
      <c r="D23" s="128"/>
      <c r="E23" s="128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125" t="s">
        <v>51</v>
      </c>
      <c r="AL23" s="124"/>
      <c r="AM23" s="122" t="s">
        <v>34</v>
      </c>
      <c r="AN23" s="122"/>
      <c r="AO23" s="122"/>
      <c r="AP23" s="122"/>
      <c r="AQ23" s="122"/>
      <c r="AR23" s="122"/>
      <c r="AS23" s="122"/>
      <c r="AT23" s="122"/>
      <c r="AU23" s="122"/>
      <c r="AV23" s="2"/>
      <c r="AW23" s="108"/>
      <c r="AX23" s="141" t="s">
        <v>97</v>
      </c>
      <c r="AY23" s="132"/>
      <c r="AZ23" s="132"/>
      <c r="BA23" s="132"/>
      <c r="BB23" s="132"/>
      <c r="BC23" s="136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230"/>
      <c r="CI23" s="137"/>
      <c r="CJ23" s="133"/>
      <c r="CK23" s="133"/>
      <c r="CL23" s="133"/>
      <c r="CM23" s="133"/>
      <c r="CN23" s="133"/>
      <c r="CO23" s="133"/>
      <c r="CP23" s="231"/>
      <c r="CQ23" s="2"/>
    </row>
    <row r="24" spans="1:95" ht="19.5" customHeight="1" x14ac:dyDescent="0.3">
      <c r="A24" s="108"/>
      <c r="B24" s="128"/>
      <c r="C24" s="128"/>
      <c r="D24" s="128"/>
      <c r="E24" s="128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125"/>
      <c r="AL24" s="124"/>
      <c r="AM24" s="122"/>
      <c r="AN24" s="122"/>
      <c r="AO24" s="122"/>
      <c r="AP24" s="122"/>
      <c r="AQ24" s="122"/>
      <c r="AR24" s="122"/>
      <c r="AS24" s="122"/>
      <c r="AT24" s="122"/>
      <c r="AU24" s="122"/>
      <c r="AV24" s="2"/>
      <c r="AW24" s="108"/>
      <c r="AX24" s="117"/>
      <c r="AY24" s="142"/>
      <c r="AZ24" s="142"/>
      <c r="BA24" s="142"/>
      <c r="BB24" s="142"/>
      <c r="BC24" s="143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5"/>
      <c r="CB24" s="135"/>
      <c r="CC24" s="135"/>
      <c r="CD24" s="135"/>
      <c r="CE24" s="135"/>
      <c r="CF24" s="135"/>
      <c r="CG24" s="135"/>
      <c r="CH24" s="232"/>
      <c r="CI24" s="143"/>
      <c r="CJ24" s="135"/>
      <c r="CK24" s="135"/>
      <c r="CL24" s="135"/>
      <c r="CM24" s="135"/>
      <c r="CN24" s="135"/>
      <c r="CO24" s="135"/>
      <c r="CP24" s="232"/>
      <c r="CQ24" s="2"/>
    </row>
    <row r="25" spans="1:95" ht="19.5" customHeight="1" x14ac:dyDescent="0.3">
      <c r="A25" s="108"/>
      <c r="B25" s="128" t="s">
        <v>52</v>
      </c>
      <c r="C25" s="128"/>
      <c r="D25" s="128"/>
      <c r="E25" s="128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125" t="s">
        <v>53</v>
      </c>
      <c r="AL25" s="124"/>
      <c r="AM25" s="122" t="s">
        <v>55</v>
      </c>
      <c r="AN25" s="122"/>
      <c r="AO25" s="122"/>
      <c r="AP25" s="122"/>
      <c r="AQ25" s="122"/>
      <c r="AR25" s="122"/>
      <c r="AS25" s="122"/>
      <c r="AT25" s="122"/>
      <c r="AU25" s="122"/>
      <c r="AV25" s="2"/>
      <c r="AW25" s="108"/>
      <c r="AX25" s="138" t="s">
        <v>96</v>
      </c>
      <c r="AY25" s="139"/>
      <c r="AZ25" s="139"/>
      <c r="BA25" s="139"/>
      <c r="BB25" s="139"/>
      <c r="BC25" s="134"/>
      <c r="BD25" s="134"/>
      <c r="BE25" s="134"/>
      <c r="BF25" s="134"/>
      <c r="BG25" s="134"/>
      <c r="BH25" s="134"/>
      <c r="BI25" s="134"/>
      <c r="BJ25" s="139"/>
      <c r="BK25" s="139" t="s">
        <v>98</v>
      </c>
      <c r="BL25" s="139"/>
      <c r="BM25" s="227"/>
      <c r="BN25" s="227"/>
      <c r="BO25" s="227"/>
      <c r="BP25" s="140" t="s">
        <v>99</v>
      </c>
      <c r="BQ25" s="139"/>
      <c r="BR25" s="139"/>
      <c r="BS25" s="139"/>
      <c r="BT25" s="139"/>
      <c r="BU25" s="139"/>
      <c r="BV25" s="139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6" t="s">
        <v>100</v>
      </c>
      <c r="CJ25" s="131"/>
      <c r="CK25" s="131"/>
      <c r="CL25" s="131"/>
      <c r="CM25" s="131"/>
      <c r="CN25" s="131"/>
      <c r="CO25" s="131"/>
      <c r="CP25" s="230"/>
      <c r="CQ25" s="2"/>
    </row>
    <row r="26" spans="1:95" ht="19.5" customHeight="1" x14ac:dyDescent="0.3">
      <c r="A26" s="108"/>
      <c r="B26" s="128"/>
      <c r="C26" s="128"/>
      <c r="D26" s="128"/>
      <c r="E26" s="128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125"/>
      <c r="AL26" s="124"/>
      <c r="AM26" s="122"/>
      <c r="AN26" s="122"/>
      <c r="AO26" s="122"/>
      <c r="AP26" s="122"/>
      <c r="AQ26" s="122"/>
      <c r="AR26" s="122"/>
      <c r="AS26" s="122"/>
      <c r="AT26" s="122"/>
      <c r="AU26" s="122"/>
      <c r="AV26" s="2"/>
      <c r="AW26" s="108"/>
      <c r="AX26" s="141" t="s">
        <v>97</v>
      </c>
      <c r="AY26" s="132"/>
      <c r="AZ26" s="132"/>
      <c r="BA26" s="132"/>
      <c r="BB26" s="132"/>
      <c r="BC26" s="136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230"/>
      <c r="CI26" s="137"/>
      <c r="CJ26" s="133"/>
      <c r="CK26" s="133"/>
      <c r="CL26" s="133"/>
      <c r="CM26" s="133"/>
      <c r="CN26" s="133"/>
      <c r="CO26" s="133"/>
      <c r="CP26" s="231"/>
      <c r="CQ26" s="2"/>
    </row>
    <row r="27" spans="1:95" ht="19.5" customHeight="1" x14ac:dyDescent="0.3">
      <c r="A27" s="108"/>
      <c r="B27" s="128" t="s">
        <v>56</v>
      </c>
      <c r="C27" s="128"/>
      <c r="D27" s="128"/>
      <c r="E27" s="128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125" t="s">
        <v>57</v>
      </c>
      <c r="AL27" s="124"/>
      <c r="AM27" s="122" t="s">
        <v>59</v>
      </c>
      <c r="AN27" s="122"/>
      <c r="AO27" s="122"/>
      <c r="AP27" s="122"/>
      <c r="AQ27" s="122"/>
      <c r="AR27" s="122"/>
      <c r="AS27" s="122"/>
      <c r="AT27" s="122"/>
      <c r="AU27" s="122"/>
      <c r="AV27" s="2"/>
      <c r="AW27" s="108"/>
      <c r="AX27" s="117"/>
      <c r="AY27" s="142"/>
      <c r="AZ27" s="142"/>
      <c r="BA27" s="142"/>
      <c r="BB27" s="142"/>
      <c r="BC27" s="143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5"/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5"/>
      <c r="CB27" s="135"/>
      <c r="CC27" s="135"/>
      <c r="CD27" s="135"/>
      <c r="CE27" s="135"/>
      <c r="CF27" s="135"/>
      <c r="CG27" s="135"/>
      <c r="CH27" s="232"/>
      <c r="CI27" s="143"/>
      <c r="CJ27" s="135"/>
      <c r="CK27" s="135"/>
      <c r="CL27" s="135"/>
      <c r="CM27" s="135"/>
      <c r="CN27" s="135"/>
      <c r="CO27" s="135"/>
      <c r="CP27" s="232"/>
      <c r="CQ27" s="2"/>
    </row>
    <row r="28" spans="1:95" ht="19.5" customHeight="1" x14ac:dyDescent="0.3">
      <c r="A28" s="108"/>
      <c r="B28" s="128"/>
      <c r="C28" s="128"/>
      <c r="D28" s="128"/>
      <c r="E28" s="128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125"/>
      <c r="AL28" s="124"/>
      <c r="AM28" s="122"/>
      <c r="AN28" s="122"/>
      <c r="AO28" s="122"/>
      <c r="AP28" s="122"/>
      <c r="AQ28" s="122"/>
      <c r="AR28" s="122"/>
      <c r="AS28" s="122"/>
      <c r="AT28" s="122"/>
      <c r="AU28" s="122"/>
      <c r="AV28" s="2"/>
      <c r="AW28" s="108"/>
      <c r="AX28" s="138" t="s">
        <v>96</v>
      </c>
      <c r="AY28" s="139"/>
      <c r="AZ28" s="139"/>
      <c r="BA28" s="139"/>
      <c r="BB28" s="139"/>
      <c r="BC28" s="134"/>
      <c r="BD28" s="134"/>
      <c r="BE28" s="134"/>
      <c r="BF28" s="134"/>
      <c r="BG28" s="134"/>
      <c r="BH28" s="134"/>
      <c r="BI28" s="134"/>
      <c r="BJ28" s="139"/>
      <c r="BK28" s="139" t="s">
        <v>98</v>
      </c>
      <c r="BL28" s="139"/>
      <c r="BM28" s="227"/>
      <c r="BN28" s="227"/>
      <c r="BO28" s="227"/>
      <c r="BP28" s="140" t="s">
        <v>99</v>
      </c>
      <c r="BQ28" s="139"/>
      <c r="BR28" s="139"/>
      <c r="BS28" s="139"/>
      <c r="BT28" s="139"/>
      <c r="BU28" s="139"/>
      <c r="BV28" s="139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6" t="s">
        <v>100</v>
      </c>
      <c r="CJ28" s="131"/>
      <c r="CK28" s="131"/>
      <c r="CL28" s="131"/>
      <c r="CM28" s="131"/>
      <c r="CN28" s="131"/>
      <c r="CO28" s="131"/>
      <c r="CP28" s="230"/>
      <c r="CQ28" s="2"/>
    </row>
    <row r="29" spans="1:95" ht="19.5" customHeight="1" x14ac:dyDescent="0.3">
      <c r="A29" s="108"/>
      <c r="B29" s="128" t="s">
        <v>60</v>
      </c>
      <c r="C29" s="128"/>
      <c r="D29" s="128"/>
      <c r="E29" s="128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125" t="s">
        <v>61</v>
      </c>
      <c r="AL29" s="124"/>
      <c r="AM29" s="122" t="s">
        <v>54</v>
      </c>
      <c r="AN29" s="122"/>
      <c r="AO29" s="122"/>
      <c r="AP29" s="122"/>
      <c r="AQ29" s="122"/>
      <c r="AR29" s="122"/>
      <c r="AS29" s="122"/>
      <c r="AT29" s="122"/>
      <c r="AU29" s="122"/>
      <c r="AV29" s="2"/>
      <c r="AW29" s="108"/>
      <c r="AX29" s="141" t="s">
        <v>97</v>
      </c>
      <c r="AY29" s="132"/>
      <c r="AZ29" s="132"/>
      <c r="BA29" s="132"/>
      <c r="BB29" s="132"/>
      <c r="BC29" s="136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230"/>
      <c r="CI29" s="137"/>
      <c r="CJ29" s="133"/>
      <c r="CK29" s="133"/>
      <c r="CL29" s="133"/>
      <c r="CM29" s="133"/>
      <c r="CN29" s="133"/>
      <c r="CO29" s="133"/>
      <c r="CP29" s="231"/>
      <c r="CQ29" s="2"/>
    </row>
    <row r="30" spans="1:95" ht="19.5" customHeight="1" x14ac:dyDescent="0.3">
      <c r="A30" s="108"/>
      <c r="B30" s="128"/>
      <c r="C30" s="128"/>
      <c r="D30" s="128"/>
      <c r="E30" s="128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125"/>
      <c r="AL30" s="124"/>
      <c r="AM30" s="122"/>
      <c r="AN30" s="122"/>
      <c r="AO30" s="122"/>
      <c r="AP30" s="122"/>
      <c r="AQ30" s="122"/>
      <c r="AR30" s="122"/>
      <c r="AS30" s="122"/>
      <c r="AT30" s="122"/>
      <c r="AU30" s="122"/>
      <c r="AV30" s="2"/>
      <c r="AW30" s="108"/>
      <c r="AX30" s="117"/>
      <c r="AY30" s="142"/>
      <c r="AZ30" s="142"/>
      <c r="BA30" s="142"/>
      <c r="BB30" s="142"/>
      <c r="BC30" s="143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232"/>
      <c r="CI30" s="143"/>
      <c r="CJ30" s="135"/>
      <c r="CK30" s="135"/>
      <c r="CL30" s="135"/>
      <c r="CM30" s="135"/>
      <c r="CN30" s="135"/>
      <c r="CO30" s="135"/>
      <c r="CP30" s="232"/>
      <c r="CQ30" s="2"/>
    </row>
    <row r="31" spans="1:95" ht="19.5" customHeight="1" x14ac:dyDescent="0.3">
      <c r="A31" s="108"/>
      <c r="B31" s="128" t="s">
        <v>62</v>
      </c>
      <c r="C31" s="128"/>
      <c r="D31" s="128"/>
      <c r="E31" s="128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125" t="s">
        <v>63</v>
      </c>
      <c r="AL31" s="124"/>
      <c r="AM31" s="122" t="s">
        <v>58</v>
      </c>
      <c r="AN31" s="122"/>
      <c r="AO31" s="122"/>
      <c r="AP31" s="122"/>
      <c r="AQ31" s="122"/>
      <c r="AR31" s="122"/>
      <c r="AS31" s="122"/>
      <c r="AT31" s="122"/>
      <c r="AU31" s="122"/>
      <c r="AV31" s="2"/>
      <c r="AW31" s="108"/>
      <c r="AX31" s="138" t="s">
        <v>96</v>
      </c>
      <c r="AY31" s="139"/>
      <c r="AZ31" s="139"/>
      <c r="BA31" s="139"/>
      <c r="BB31" s="139"/>
      <c r="BC31" s="134"/>
      <c r="BD31" s="134"/>
      <c r="BE31" s="134"/>
      <c r="BF31" s="134"/>
      <c r="BG31" s="134"/>
      <c r="BH31" s="134"/>
      <c r="BI31" s="134"/>
      <c r="BJ31" s="139"/>
      <c r="BK31" s="139" t="s">
        <v>98</v>
      </c>
      <c r="BL31" s="139"/>
      <c r="BM31" s="227"/>
      <c r="BN31" s="227"/>
      <c r="BO31" s="227"/>
      <c r="BP31" s="140" t="s">
        <v>99</v>
      </c>
      <c r="BQ31" s="139"/>
      <c r="BR31" s="139"/>
      <c r="BS31" s="139"/>
      <c r="BT31" s="139"/>
      <c r="BU31" s="139"/>
      <c r="BV31" s="139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6" t="s">
        <v>100</v>
      </c>
      <c r="CJ31" s="131"/>
      <c r="CK31" s="131"/>
      <c r="CL31" s="131"/>
      <c r="CM31" s="131"/>
      <c r="CN31" s="131"/>
      <c r="CO31" s="131"/>
      <c r="CP31" s="230"/>
      <c r="CQ31" s="2"/>
    </row>
    <row r="32" spans="1:95" ht="19.5" customHeight="1" x14ac:dyDescent="0.3">
      <c r="A32" s="108"/>
      <c r="B32" s="128"/>
      <c r="C32" s="128"/>
      <c r="D32" s="128"/>
      <c r="E32" s="128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125"/>
      <c r="AL32" s="124"/>
      <c r="AM32" s="122"/>
      <c r="AN32" s="122"/>
      <c r="AO32" s="122"/>
      <c r="AP32" s="122"/>
      <c r="AQ32" s="122"/>
      <c r="AR32" s="122"/>
      <c r="AS32" s="122"/>
      <c r="AT32" s="122"/>
      <c r="AU32" s="122"/>
      <c r="AV32" s="2"/>
      <c r="AW32" s="108"/>
      <c r="AX32" s="141" t="s">
        <v>97</v>
      </c>
      <c r="AY32" s="132"/>
      <c r="AZ32" s="132"/>
      <c r="BA32" s="132"/>
      <c r="BB32" s="132"/>
      <c r="BC32" s="136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230"/>
      <c r="CI32" s="137"/>
      <c r="CJ32" s="133"/>
      <c r="CK32" s="133"/>
      <c r="CL32" s="133"/>
      <c r="CM32" s="133"/>
      <c r="CN32" s="133"/>
      <c r="CO32" s="133"/>
      <c r="CP32" s="231"/>
      <c r="CQ32" s="2"/>
    </row>
    <row r="33" spans="1:95" ht="19.5" customHeight="1" x14ac:dyDescent="0.3">
      <c r="A33" s="108"/>
      <c r="B33" s="128" t="s">
        <v>64</v>
      </c>
      <c r="C33" s="128"/>
      <c r="D33" s="128"/>
      <c r="E33" s="128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125"/>
      <c r="AL33" s="124"/>
      <c r="AM33" s="122"/>
      <c r="AN33" s="122"/>
      <c r="AO33" s="122"/>
      <c r="AP33" s="122"/>
      <c r="AQ33" s="122"/>
      <c r="AR33" s="122"/>
      <c r="AS33" s="122"/>
      <c r="AT33" s="122"/>
      <c r="AU33" s="122"/>
      <c r="AV33" s="2"/>
      <c r="AW33" s="108"/>
      <c r="AX33" s="117"/>
      <c r="AY33" s="142"/>
      <c r="AZ33" s="142"/>
      <c r="BA33" s="142"/>
      <c r="BB33" s="142"/>
      <c r="BC33" s="143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5"/>
      <c r="CH33" s="232"/>
      <c r="CI33" s="143"/>
      <c r="CJ33" s="135"/>
      <c r="CK33" s="135"/>
      <c r="CL33" s="135"/>
      <c r="CM33" s="135"/>
      <c r="CN33" s="135"/>
      <c r="CO33" s="135"/>
      <c r="CP33" s="232"/>
      <c r="CQ33" s="2"/>
    </row>
    <row r="34" spans="1:95" ht="19.5" customHeight="1" x14ac:dyDescent="0.3">
      <c r="A34" s="108"/>
      <c r="B34" s="128"/>
      <c r="C34" s="128"/>
      <c r="D34" s="128"/>
      <c r="E34" s="128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125"/>
      <c r="AL34" s="124"/>
      <c r="AM34" s="122"/>
      <c r="AN34" s="122"/>
      <c r="AO34" s="122"/>
      <c r="AP34" s="122"/>
      <c r="AQ34" s="122"/>
      <c r="AR34" s="122"/>
      <c r="AS34" s="122"/>
      <c r="AT34" s="122"/>
      <c r="AU34" s="122"/>
      <c r="AV34" s="2"/>
      <c r="AW34" s="108"/>
      <c r="AX34" s="138" t="s">
        <v>96</v>
      </c>
      <c r="AY34" s="139"/>
      <c r="AZ34" s="139"/>
      <c r="BA34" s="139"/>
      <c r="BB34" s="139"/>
      <c r="BC34" s="134"/>
      <c r="BD34" s="134"/>
      <c r="BE34" s="134"/>
      <c r="BF34" s="134"/>
      <c r="BG34" s="134"/>
      <c r="BH34" s="134"/>
      <c r="BI34" s="134"/>
      <c r="BJ34" s="139"/>
      <c r="BK34" s="139" t="s">
        <v>98</v>
      </c>
      <c r="BL34" s="139"/>
      <c r="BM34" s="227"/>
      <c r="BN34" s="227"/>
      <c r="BO34" s="227"/>
      <c r="BP34" s="140" t="s">
        <v>99</v>
      </c>
      <c r="BQ34" s="139"/>
      <c r="BR34" s="139"/>
      <c r="BS34" s="139"/>
      <c r="BT34" s="139"/>
      <c r="BU34" s="139"/>
      <c r="BV34" s="139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6" t="s">
        <v>100</v>
      </c>
      <c r="CJ34" s="131"/>
      <c r="CK34" s="131"/>
      <c r="CL34" s="131"/>
      <c r="CM34" s="131"/>
      <c r="CN34" s="131"/>
      <c r="CO34" s="131"/>
      <c r="CP34" s="230"/>
      <c r="CQ34" s="2"/>
    </row>
    <row r="35" spans="1:95" ht="19.5" customHeight="1" x14ac:dyDescent="0.3">
      <c r="A35" s="108"/>
      <c r="B35" s="128" t="s">
        <v>65</v>
      </c>
      <c r="C35" s="128"/>
      <c r="D35" s="128"/>
      <c r="E35" s="128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125"/>
      <c r="AL35" s="124"/>
      <c r="AM35" s="123"/>
      <c r="AN35" s="123"/>
      <c r="AO35" s="123"/>
      <c r="AP35" s="123"/>
      <c r="AQ35" s="123"/>
      <c r="AR35" s="123"/>
      <c r="AS35" s="123"/>
      <c r="AT35" s="123"/>
      <c r="AU35" s="123"/>
      <c r="AV35" s="2"/>
      <c r="AW35" s="108"/>
      <c r="AX35" s="141" t="s">
        <v>97</v>
      </c>
      <c r="AY35" s="132"/>
      <c r="AZ35" s="132"/>
      <c r="BA35" s="132"/>
      <c r="BB35" s="132"/>
      <c r="BC35" s="136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230"/>
      <c r="CI35" s="137"/>
      <c r="CJ35" s="133"/>
      <c r="CK35" s="133"/>
      <c r="CL35" s="133"/>
      <c r="CM35" s="133"/>
      <c r="CN35" s="133"/>
      <c r="CO35" s="133"/>
      <c r="CP35" s="231"/>
      <c r="CQ35" s="2"/>
    </row>
    <row r="36" spans="1:95" ht="19.5" customHeight="1" x14ac:dyDescent="0.3">
      <c r="A36" s="108"/>
      <c r="B36" s="128"/>
      <c r="C36" s="128"/>
      <c r="D36" s="128"/>
      <c r="E36" s="128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125"/>
      <c r="AL36" s="124"/>
      <c r="AM36" s="123"/>
      <c r="AN36" s="123"/>
      <c r="AO36" s="123"/>
      <c r="AP36" s="123"/>
      <c r="AQ36" s="123"/>
      <c r="AR36" s="123"/>
      <c r="AS36" s="123"/>
      <c r="AT36" s="123"/>
      <c r="AU36" s="123"/>
      <c r="AV36" s="2"/>
      <c r="AW36" s="108"/>
      <c r="AX36" s="117"/>
      <c r="AY36" s="142"/>
      <c r="AZ36" s="142"/>
      <c r="BA36" s="142"/>
      <c r="BB36" s="142"/>
      <c r="BC36" s="143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232"/>
      <c r="CI36" s="143"/>
      <c r="CJ36" s="135"/>
      <c r="CK36" s="135"/>
      <c r="CL36" s="135"/>
      <c r="CM36" s="135"/>
      <c r="CN36" s="135"/>
      <c r="CO36" s="135"/>
      <c r="CP36" s="232"/>
      <c r="CQ36" s="2"/>
    </row>
    <row r="37" spans="1:95" ht="19.5" customHeight="1" x14ac:dyDescent="0.3">
      <c r="B37" s="112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13"/>
      <c r="AX37" s="138" t="s">
        <v>96</v>
      </c>
      <c r="AY37" s="139"/>
      <c r="AZ37" s="139"/>
      <c r="BA37" s="139"/>
      <c r="BB37" s="139"/>
      <c r="BC37" s="134"/>
      <c r="BD37" s="134"/>
      <c r="BE37" s="134"/>
      <c r="BF37" s="134"/>
      <c r="BG37" s="134"/>
      <c r="BH37" s="134"/>
      <c r="BI37" s="134"/>
      <c r="BJ37" s="139"/>
      <c r="BK37" s="139" t="s">
        <v>98</v>
      </c>
      <c r="BL37" s="139"/>
      <c r="BM37" s="227"/>
      <c r="BN37" s="227"/>
      <c r="BO37" s="227"/>
      <c r="BP37" s="140" t="s">
        <v>99</v>
      </c>
      <c r="BQ37" s="139"/>
      <c r="BR37" s="139"/>
      <c r="BS37" s="139"/>
      <c r="BT37" s="139"/>
      <c r="BU37" s="139"/>
      <c r="BV37" s="139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6" t="s">
        <v>100</v>
      </c>
      <c r="CJ37" s="131"/>
      <c r="CK37" s="131"/>
      <c r="CL37" s="131"/>
      <c r="CM37" s="131"/>
      <c r="CN37" s="131"/>
      <c r="CO37" s="131"/>
      <c r="CP37" s="230"/>
    </row>
    <row r="38" spans="1:95" ht="19.5" customHeight="1" x14ac:dyDescent="0.3">
      <c r="B38" s="114" t="s">
        <v>66</v>
      </c>
      <c r="C38" s="115"/>
      <c r="D38" s="115"/>
      <c r="E38" s="115"/>
      <c r="F38" s="115"/>
      <c r="G38" s="115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6" t="s">
        <v>67</v>
      </c>
      <c r="AL38" s="116"/>
      <c r="AM38" s="116"/>
      <c r="AN38" s="116"/>
      <c r="AO38" s="130"/>
      <c r="AP38" s="130"/>
      <c r="AQ38" s="130"/>
      <c r="AR38" s="130"/>
      <c r="AS38" s="130"/>
      <c r="AT38" s="130"/>
      <c r="AU38" s="113"/>
      <c r="AX38" s="141" t="s">
        <v>97</v>
      </c>
      <c r="AY38" s="132"/>
      <c r="AZ38" s="132"/>
      <c r="BA38" s="132"/>
      <c r="BB38" s="132"/>
      <c r="BC38" s="136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230"/>
      <c r="CI38" s="137"/>
      <c r="CJ38" s="133"/>
      <c r="CK38" s="133"/>
      <c r="CL38" s="133"/>
      <c r="CM38" s="133"/>
      <c r="CN38" s="133"/>
      <c r="CO38" s="133"/>
      <c r="CP38" s="231"/>
    </row>
    <row r="39" spans="1:95" ht="19.5" customHeight="1" x14ac:dyDescent="0.3">
      <c r="B39" s="117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9"/>
      <c r="AX39" s="117"/>
      <c r="AY39" s="142"/>
      <c r="AZ39" s="142"/>
      <c r="BA39" s="142"/>
      <c r="BB39" s="142"/>
      <c r="BC39" s="143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35"/>
      <c r="CF39" s="135"/>
      <c r="CG39" s="135"/>
      <c r="CH39" s="232"/>
      <c r="CI39" s="143"/>
      <c r="CJ39" s="135"/>
      <c r="CK39" s="135"/>
      <c r="CL39" s="135"/>
      <c r="CM39" s="135"/>
      <c r="CN39" s="135"/>
      <c r="CO39" s="135"/>
      <c r="CP39" s="232"/>
    </row>
  </sheetData>
  <mergeCells count="148">
    <mergeCell ref="BC37:BI37"/>
    <mergeCell ref="BM37:BO37"/>
    <mergeCell ref="BW37:CH37"/>
    <mergeCell ref="CI37:CJ39"/>
    <mergeCell ref="CK37:CP39"/>
    <mergeCell ref="BC38:CH39"/>
    <mergeCell ref="BC34:BI34"/>
    <mergeCell ref="BM34:BO34"/>
    <mergeCell ref="BW34:CH34"/>
    <mergeCell ref="CI34:CJ36"/>
    <mergeCell ref="CK34:CP36"/>
    <mergeCell ref="BC35:CH36"/>
    <mergeCell ref="BC31:BI31"/>
    <mergeCell ref="BM31:BO31"/>
    <mergeCell ref="BW31:CH31"/>
    <mergeCell ref="CI31:CJ33"/>
    <mergeCell ref="CK31:CP33"/>
    <mergeCell ref="BC32:CH33"/>
    <mergeCell ref="BC28:BI28"/>
    <mergeCell ref="BM28:BO28"/>
    <mergeCell ref="BW28:CH28"/>
    <mergeCell ref="CI28:CJ30"/>
    <mergeCell ref="CK28:CP30"/>
    <mergeCell ref="BC29:CH30"/>
    <mergeCell ref="BC25:BI25"/>
    <mergeCell ref="BM25:BO25"/>
    <mergeCell ref="BW25:CH25"/>
    <mergeCell ref="CI25:CJ27"/>
    <mergeCell ref="CK25:CP27"/>
    <mergeCell ref="BC26:CH27"/>
    <mergeCell ref="BC22:BI22"/>
    <mergeCell ref="BM22:BO22"/>
    <mergeCell ref="BW22:CH22"/>
    <mergeCell ref="CI22:CJ24"/>
    <mergeCell ref="CK22:CP24"/>
    <mergeCell ref="BC23:CH24"/>
    <mergeCell ref="BW16:CH16"/>
    <mergeCell ref="CI16:CJ18"/>
    <mergeCell ref="CK16:CP18"/>
    <mergeCell ref="BC17:CH18"/>
    <mergeCell ref="BC19:BI19"/>
    <mergeCell ref="BM19:BO19"/>
    <mergeCell ref="BW19:CH19"/>
    <mergeCell ref="CI19:CJ21"/>
    <mergeCell ref="CK19:CP21"/>
    <mergeCell ref="BC20:CH21"/>
    <mergeCell ref="BW10:CH10"/>
    <mergeCell ref="CK10:CP12"/>
    <mergeCell ref="CI10:CJ12"/>
    <mergeCell ref="BC13:BI13"/>
    <mergeCell ref="BM13:BO13"/>
    <mergeCell ref="BW13:CH13"/>
    <mergeCell ref="CI13:CJ15"/>
    <mergeCell ref="CK13:CP15"/>
    <mergeCell ref="BC14:CH15"/>
    <mergeCell ref="BC10:BI10"/>
    <mergeCell ref="BM10:BO10"/>
    <mergeCell ref="BC11:CH12"/>
    <mergeCell ref="B35:E36"/>
    <mergeCell ref="AK35:AL36"/>
    <mergeCell ref="AM35:AU36"/>
    <mergeCell ref="B38:G38"/>
    <mergeCell ref="B33:E34"/>
    <mergeCell ref="AK33:AL34"/>
    <mergeCell ref="AM33:AU34"/>
    <mergeCell ref="B31:E32"/>
    <mergeCell ref="AK31:AL32"/>
    <mergeCell ref="AM31:AU32"/>
    <mergeCell ref="B29:E30"/>
    <mergeCell ref="AK29:AL30"/>
    <mergeCell ref="AM29:AU30"/>
    <mergeCell ref="B27:E28"/>
    <mergeCell ref="AK27:AL28"/>
    <mergeCell ref="AM27:AU28"/>
    <mergeCell ref="B25:E26"/>
    <mergeCell ref="AK25:AL26"/>
    <mergeCell ref="AM25:AU26"/>
    <mergeCell ref="B23:E24"/>
    <mergeCell ref="AK23:AL24"/>
    <mergeCell ref="AM23:AU24"/>
    <mergeCell ref="B21:E22"/>
    <mergeCell ref="AK21:AL22"/>
    <mergeCell ref="AM21:AU22"/>
    <mergeCell ref="B19:E20"/>
    <mergeCell ref="AK19:AL20"/>
    <mergeCell ref="AM19:AU20"/>
    <mergeCell ref="B17:E18"/>
    <mergeCell ref="AK17:AL18"/>
    <mergeCell ref="AM17:AU18"/>
    <mergeCell ref="BC16:BI16"/>
    <mergeCell ref="BM16:BO16"/>
    <mergeCell ref="B15:E16"/>
    <mergeCell ref="AK15:AL16"/>
    <mergeCell ref="AM15:AU16"/>
    <mergeCell ref="B12:E12"/>
    <mergeCell ref="AK12:AU12"/>
    <mergeCell ref="A13:A36"/>
    <mergeCell ref="B13:E14"/>
    <mergeCell ref="AK13:AL14"/>
    <mergeCell ref="AM13:AU14"/>
    <mergeCell ref="AW13:AW36"/>
    <mergeCell ref="AS10:AU10"/>
    <mergeCell ref="AB11:AI11"/>
    <mergeCell ref="AJ11:AL11"/>
    <mergeCell ref="AP11:AR11"/>
    <mergeCell ref="AS11:AU11"/>
    <mergeCell ref="W10:Y11"/>
    <mergeCell ref="Z10:AA11"/>
    <mergeCell ref="AB10:AI10"/>
    <mergeCell ref="AJ10:AL10"/>
    <mergeCell ref="AM10:AO11"/>
    <mergeCell ref="AP10:AR10"/>
    <mergeCell ref="B8:F9"/>
    <mergeCell ref="G8:AU9"/>
    <mergeCell ref="AX8:BB9"/>
    <mergeCell ref="BC8:CP9"/>
    <mergeCell ref="B10:E11"/>
    <mergeCell ref="F10:H11"/>
    <mergeCell ref="I10:K11"/>
    <mergeCell ref="L10:O11"/>
    <mergeCell ref="P10:R11"/>
    <mergeCell ref="S10:V11"/>
    <mergeCell ref="I6:AN6"/>
    <mergeCell ref="AO6:AQ6"/>
    <mergeCell ref="AR6:AU6"/>
    <mergeCell ref="BE6:CH6"/>
    <mergeCell ref="CI6:CL6"/>
    <mergeCell ref="CM6:CP6"/>
    <mergeCell ref="I4:AN5"/>
    <mergeCell ref="AO4:AQ4"/>
    <mergeCell ref="AR4:AU4"/>
    <mergeCell ref="BE4:CH5"/>
    <mergeCell ref="CI4:CL4"/>
    <mergeCell ref="CM4:CP4"/>
    <mergeCell ref="AO5:AQ5"/>
    <mergeCell ref="AR5:AU5"/>
    <mergeCell ref="CI5:CL5"/>
    <mergeCell ref="CM5:CP5"/>
    <mergeCell ref="B2:H6"/>
    <mergeCell ref="I2:AN2"/>
    <mergeCell ref="AO2:AU2"/>
    <mergeCell ref="AX2:BD6"/>
    <mergeCell ref="BE2:CH2"/>
    <mergeCell ref="CI2:CP2"/>
    <mergeCell ref="I3:AN3"/>
    <mergeCell ref="AO3:AU3"/>
    <mergeCell ref="BE3:CH3"/>
    <mergeCell ref="CI3:CP3"/>
  </mergeCells>
  <printOptions horizontalCentered="1" verticalCentered="1"/>
  <pageMargins left="0.19685039370078741" right="0" top="0" bottom="0" header="0" footer="0"/>
  <pageSetup scale="75" orientation="landscape" r:id="rId1"/>
  <headerFooter>
    <oddHeader>&amp;L&amp;"Arial"&amp;8&amp;K000000 INTERNAL&amp;1#_x000D_</oddHeader>
    <oddFooter>&amp;C&amp;"-,Negrita"&amp;K009999PÁGINA &amp;P DE &amp;N</oddFooter>
  </headerFooter>
  <customProperties>
    <customPr name="layoutContexts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DCE5-46BA-4370-8B16-BF7297797BBE}">
  <sheetPr>
    <tabColor rgb="FFFFC000"/>
  </sheetPr>
  <dimension ref="A1:AL143"/>
  <sheetViews>
    <sheetView view="pageBreakPreview" zoomScale="92" zoomScaleSheetLayoutView="92" workbookViewId="0">
      <selection activeCell="AQ14" sqref="AQ14"/>
    </sheetView>
  </sheetViews>
  <sheetFormatPr defaultColWidth="3.6640625" defaultRowHeight="19.5" customHeight="1" x14ac:dyDescent="0.3"/>
  <cols>
    <col min="1" max="28" width="3.6640625" style="1"/>
    <col min="29" max="29" width="3.6640625" style="1" customWidth="1"/>
    <col min="30" max="16384" width="3.6640625" style="1"/>
  </cols>
  <sheetData>
    <row r="1" spans="1:37" s="182" customFormat="1" ht="19.5" customHeight="1" x14ac:dyDescent="0.3">
      <c r="A1" s="197"/>
      <c r="B1" s="178"/>
      <c r="C1" s="178"/>
      <c r="D1" s="178"/>
      <c r="E1" s="178"/>
      <c r="F1" s="178"/>
      <c r="G1" s="178"/>
      <c r="H1" s="178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80"/>
      <c r="AC1" s="181" t="str">
        <f>'[1]1.1'!$CI$2</f>
        <v>REGISTRO SENASICA</v>
      </c>
      <c r="AD1" s="181"/>
      <c r="AE1" s="181"/>
      <c r="AF1" s="181"/>
      <c r="AG1" s="181"/>
      <c r="AH1" s="181"/>
      <c r="AI1" s="181"/>
      <c r="AJ1" s="181"/>
      <c r="AK1" s="198"/>
    </row>
    <row r="2" spans="1:37" s="182" customFormat="1" ht="19.5" customHeight="1" x14ac:dyDescent="0.3">
      <c r="A2" s="197"/>
      <c r="B2" s="178"/>
      <c r="C2" s="178"/>
      <c r="D2" s="178"/>
      <c r="E2" s="178"/>
      <c r="F2" s="178"/>
      <c r="G2" s="178"/>
      <c r="H2" s="178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80"/>
      <c r="AC2" s="181"/>
      <c r="AD2" s="181"/>
      <c r="AE2" s="181"/>
      <c r="AF2" s="181"/>
      <c r="AG2" s="181"/>
      <c r="AH2" s="181"/>
      <c r="AI2" s="181"/>
      <c r="AJ2" s="181"/>
      <c r="AK2" s="199"/>
    </row>
    <row r="3" spans="1:37" s="182" customFormat="1" ht="19.5" customHeight="1" x14ac:dyDescent="0.3">
      <c r="A3" s="197"/>
      <c r="B3" s="178"/>
      <c r="C3" s="178"/>
      <c r="D3" s="178"/>
      <c r="E3" s="178"/>
      <c r="F3" s="178"/>
      <c r="G3" s="178"/>
      <c r="H3" s="178"/>
      <c r="I3" s="183" t="s">
        <v>101</v>
      </c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4" t="s">
        <v>82</v>
      </c>
      <c r="AD3" s="184"/>
      <c r="AE3" s="184"/>
      <c r="AF3" s="184"/>
      <c r="AG3" s="185"/>
      <c r="AH3" s="185"/>
      <c r="AI3" s="185"/>
      <c r="AJ3" s="185"/>
      <c r="AK3" s="199"/>
    </row>
    <row r="4" spans="1:37" s="182" customFormat="1" ht="19.5" customHeight="1" x14ac:dyDescent="0.3">
      <c r="A4" s="197"/>
      <c r="B4" s="178"/>
      <c r="C4" s="178"/>
      <c r="D4" s="178"/>
      <c r="E4" s="178"/>
      <c r="F4" s="178"/>
      <c r="G4" s="178"/>
      <c r="H4" s="178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4" t="s">
        <v>83</v>
      </c>
      <c r="AD4" s="184"/>
      <c r="AE4" s="184"/>
      <c r="AF4" s="184"/>
      <c r="AG4" s="185"/>
      <c r="AH4" s="185"/>
      <c r="AI4" s="185"/>
      <c r="AJ4" s="185"/>
      <c r="AK4" s="199"/>
    </row>
    <row r="5" spans="1:37" s="182" customFormat="1" ht="19.5" customHeight="1" thickBot="1" x14ac:dyDescent="0.35">
      <c r="A5" s="197"/>
      <c r="B5" s="178"/>
      <c r="C5" s="178"/>
      <c r="D5" s="178"/>
      <c r="E5" s="178"/>
      <c r="F5" s="178"/>
      <c r="G5" s="178"/>
      <c r="H5" s="178"/>
      <c r="I5" s="186" t="str">
        <f>'[1]1.1'!$D$28</f>
        <v>RPP-DOC-2.5</v>
      </c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4" t="s">
        <v>84</v>
      </c>
      <c r="AD5" s="184"/>
      <c r="AE5" s="184"/>
      <c r="AF5" s="184"/>
      <c r="AG5" s="187"/>
      <c r="AH5" s="187"/>
      <c r="AI5" s="187"/>
      <c r="AJ5" s="187"/>
      <c r="AK5" s="200"/>
    </row>
    <row r="6" spans="1:37" ht="19.5" customHeight="1" x14ac:dyDescent="0.3">
      <c r="B6" s="145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7"/>
      <c r="AK6" s="148"/>
    </row>
    <row r="7" spans="1:37" ht="19.5" customHeight="1" x14ac:dyDescent="0.3">
      <c r="B7" s="149"/>
      <c r="C7" s="116"/>
      <c r="D7" s="116"/>
      <c r="E7" s="116"/>
      <c r="F7" s="116"/>
      <c r="G7" s="116"/>
      <c r="H7" s="116"/>
      <c r="I7" s="116"/>
      <c r="J7" s="116"/>
      <c r="K7" s="116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13"/>
      <c r="AK7" s="148"/>
    </row>
    <row r="8" spans="1:37" ht="19.5" customHeight="1" x14ac:dyDescent="0.3">
      <c r="B8" s="112"/>
      <c r="C8" s="116"/>
      <c r="D8" s="116"/>
      <c r="E8" s="116"/>
      <c r="F8" s="116"/>
      <c r="G8" s="116"/>
      <c r="H8" s="116"/>
      <c r="I8" s="116"/>
      <c r="J8" s="116"/>
      <c r="K8" s="11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13"/>
      <c r="AK8" s="148"/>
    </row>
    <row r="9" spans="1:37" ht="19.5" customHeight="1" x14ac:dyDescent="0.3">
      <c r="B9" s="112"/>
      <c r="C9" s="116"/>
      <c r="D9" s="116"/>
      <c r="E9" s="116"/>
      <c r="F9" s="116"/>
      <c r="G9" s="116"/>
      <c r="H9" s="116"/>
      <c r="I9" s="116"/>
      <c r="J9" s="116"/>
      <c r="K9" s="11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13"/>
      <c r="AK9" s="148"/>
    </row>
    <row r="10" spans="1:37" ht="19.5" customHeight="1" x14ac:dyDescent="0.3">
      <c r="B10" s="112"/>
      <c r="C10" s="116"/>
      <c r="D10" s="116"/>
      <c r="E10" s="116"/>
      <c r="F10" s="116"/>
      <c r="G10" s="116"/>
      <c r="H10" s="116"/>
      <c r="I10" s="116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13"/>
      <c r="AK10" s="148"/>
    </row>
    <row r="11" spans="1:37" ht="19.5" customHeight="1" x14ac:dyDescent="0.3">
      <c r="B11" s="166"/>
      <c r="C11" s="166"/>
      <c r="D11" s="166"/>
      <c r="E11" s="166"/>
      <c r="F11" s="166"/>
      <c r="G11" s="166"/>
      <c r="H11" s="166"/>
      <c r="I11" s="166"/>
      <c r="J11" s="163" t="s">
        <v>31</v>
      </c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48"/>
    </row>
    <row r="12" spans="1:37" ht="19.5" customHeight="1" x14ac:dyDescent="0.3">
      <c r="B12" s="166"/>
      <c r="C12" s="166"/>
      <c r="D12" s="166"/>
      <c r="E12" s="166"/>
      <c r="F12" s="166"/>
      <c r="G12" s="166"/>
      <c r="H12" s="166"/>
      <c r="I12" s="166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48"/>
    </row>
    <row r="13" spans="1:37" ht="19.5" customHeight="1" x14ac:dyDescent="0.3">
      <c r="B13" s="166"/>
      <c r="C13" s="166"/>
      <c r="D13" s="166"/>
      <c r="E13" s="166"/>
      <c r="F13" s="166"/>
      <c r="G13" s="166"/>
      <c r="H13" s="166"/>
      <c r="I13" s="166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48"/>
    </row>
    <row r="14" spans="1:37" ht="19.5" customHeight="1" x14ac:dyDescent="0.3">
      <c r="B14" s="166"/>
      <c r="C14" s="166"/>
      <c r="D14" s="166"/>
      <c r="E14" s="166"/>
      <c r="F14" s="166"/>
      <c r="G14" s="166"/>
      <c r="H14" s="166"/>
      <c r="I14" s="166"/>
      <c r="J14" s="164" t="s">
        <v>68</v>
      </c>
      <c r="K14" s="164"/>
      <c r="L14" s="164"/>
      <c r="M14" s="164"/>
      <c r="N14" s="164"/>
      <c r="O14" s="164"/>
      <c r="P14" s="164"/>
      <c r="Q14" s="164"/>
      <c r="R14" s="164"/>
      <c r="S14" s="164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48"/>
    </row>
    <row r="15" spans="1:37" ht="19.5" customHeight="1" x14ac:dyDescent="0.3">
      <c r="B15" s="166"/>
      <c r="C15" s="166"/>
      <c r="D15" s="166"/>
      <c r="E15" s="166"/>
      <c r="F15" s="166"/>
      <c r="G15" s="166"/>
      <c r="H15" s="166"/>
      <c r="I15" s="166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48"/>
    </row>
    <row r="16" spans="1:37" ht="19.5" customHeight="1" x14ac:dyDescent="0.3">
      <c r="B16" s="166"/>
      <c r="C16" s="166"/>
      <c r="D16" s="166"/>
      <c r="E16" s="166"/>
      <c r="F16" s="166"/>
      <c r="G16" s="166"/>
      <c r="H16" s="166"/>
      <c r="I16" s="166"/>
      <c r="J16" s="165" t="s">
        <v>69</v>
      </c>
      <c r="K16" s="165"/>
      <c r="L16" s="165"/>
      <c r="M16" s="165"/>
      <c r="N16" s="165"/>
      <c r="O16" s="165"/>
      <c r="P16" s="165"/>
      <c r="Q16" s="165"/>
      <c r="R16" s="165"/>
      <c r="S16" s="165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48"/>
    </row>
    <row r="17" spans="2:37" ht="19.5" customHeight="1" x14ac:dyDescent="0.3">
      <c r="B17" s="166"/>
      <c r="C17" s="166"/>
      <c r="D17" s="166"/>
      <c r="E17" s="166"/>
      <c r="F17" s="166"/>
      <c r="G17" s="166"/>
      <c r="H17" s="166"/>
      <c r="I17" s="166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48"/>
    </row>
    <row r="18" spans="2:37" ht="19.5" customHeight="1" x14ac:dyDescent="0.3">
      <c r="B18" s="154" t="s">
        <v>70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48"/>
    </row>
    <row r="19" spans="2:37" ht="19.5" customHeight="1" x14ac:dyDescent="0.3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48"/>
    </row>
    <row r="20" spans="2:37" ht="19.5" customHeight="1" x14ac:dyDescent="0.3">
      <c r="B20" s="150" t="s">
        <v>71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48"/>
    </row>
    <row r="21" spans="2:37" ht="19.5" customHeight="1" x14ac:dyDescent="0.3"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48"/>
    </row>
    <row r="22" spans="2:37" ht="19.5" customHeight="1" x14ac:dyDescent="0.3">
      <c r="B22" s="153" t="s">
        <v>72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48"/>
    </row>
    <row r="23" spans="2:37" ht="19.5" customHeight="1" x14ac:dyDescent="0.3"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48"/>
    </row>
    <row r="24" spans="2:37" ht="19.5" customHeight="1" x14ac:dyDescent="0.3">
      <c r="B24" s="151" t="s">
        <v>73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48"/>
    </row>
    <row r="25" spans="2:37" ht="19.5" customHeight="1" x14ac:dyDescent="0.3"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48"/>
    </row>
    <row r="26" spans="2:37" ht="19.5" customHeight="1" x14ac:dyDescent="0.3">
      <c r="B26" s="152" t="s">
        <v>74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48"/>
    </row>
    <row r="27" spans="2:37" ht="19.5" customHeight="1" x14ac:dyDescent="0.3"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48"/>
    </row>
    <row r="28" spans="2:37" ht="19.5" customHeight="1" x14ac:dyDescent="0.3">
      <c r="B28" s="151" t="s">
        <v>75</v>
      </c>
      <c r="C28" s="151"/>
      <c r="D28" s="151"/>
      <c r="E28" s="151"/>
      <c r="F28" s="151"/>
      <c r="G28" s="151"/>
      <c r="H28" s="151"/>
      <c r="I28" s="151"/>
      <c r="J28" s="151"/>
      <c r="K28" s="151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48"/>
    </row>
    <row r="29" spans="2:37" ht="19.5" customHeight="1" x14ac:dyDescent="0.3"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48"/>
    </row>
    <row r="30" spans="2:37" ht="19.5" customHeight="1" x14ac:dyDescent="0.3">
      <c r="B30" s="152" t="s">
        <v>76</v>
      </c>
      <c r="C30" s="152"/>
      <c r="D30" s="152"/>
      <c r="E30" s="152"/>
      <c r="F30" s="152"/>
      <c r="G30" s="152"/>
      <c r="H30" s="152"/>
      <c r="I30" s="152"/>
      <c r="J30" s="152"/>
      <c r="K30" s="152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48"/>
    </row>
    <row r="31" spans="2:37" ht="19.5" customHeight="1" x14ac:dyDescent="0.3"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48"/>
    </row>
    <row r="32" spans="2:37" ht="19.5" customHeight="1" x14ac:dyDescent="0.3">
      <c r="B32" s="151" t="s">
        <v>77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48"/>
    </row>
    <row r="33" spans="2:37" ht="19.5" customHeight="1" x14ac:dyDescent="0.3"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48"/>
    </row>
    <row r="34" spans="2:37" ht="19.5" customHeight="1" x14ac:dyDescent="0.3">
      <c r="B34" s="152" t="s">
        <v>78</v>
      </c>
      <c r="C34" s="152"/>
      <c r="D34" s="152"/>
      <c r="E34" s="152"/>
      <c r="F34" s="152"/>
      <c r="G34" s="152"/>
      <c r="H34" s="152"/>
      <c r="I34" s="152"/>
      <c r="J34" s="152"/>
      <c r="K34" s="152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48"/>
    </row>
    <row r="35" spans="2:37" ht="19.5" customHeight="1" x14ac:dyDescent="0.3"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48"/>
    </row>
    <row r="36" spans="2:37" ht="19.5" customHeight="1" x14ac:dyDescent="0.3">
      <c r="B36" s="151" t="s">
        <v>79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48"/>
    </row>
    <row r="37" spans="2:37" ht="19.5" customHeight="1" x14ac:dyDescent="0.3"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48"/>
    </row>
    <row r="38" spans="2:37" ht="19.5" customHeight="1" x14ac:dyDescent="0.3">
      <c r="B38" s="152" t="s">
        <v>80</v>
      </c>
      <c r="C38" s="152"/>
      <c r="D38" s="152"/>
      <c r="E38" s="152"/>
      <c r="F38" s="152"/>
      <c r="G38" s="152"/>
      <c r="H38" s="152"/>
      <c r="I38" s="152"/>
      <c r="J38" s="152"/>
      <c r="K38" s="152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48"/>
    </row>
    <row r="39" spans="2:37" ht="19.5" customHeight="1" x14ac:dyDescent="0.3"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48"/>
    </row>
    <row r="40" spans="2:37" ht="19.5" customHeight="1" x14ac:dyDescent="0.3">
      <c r="B40" s="151" t="s">
        <v>81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48"/>
    </row>
    <row r="41" spans="2:37" ht="19.5" customHeight="1" x14ac:dyDescent="0.3"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48"/>
    </row>
    <row r="42" spans="2:37" ht="19.5" customHeight="1" x14ac:dyDescent="0.3">
      <c r="B42" s="155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8"/>
      <c r="AK42" s="148"/>
    </row>
    <row r="43" spans="2:37" ht="19.5" customHeight="1" x14ac:dyDescent="0.3">
      <c r="B43" s="112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8"/>
      <c r="AK43" s="148"/>
    </row>
    <row r="44" spans="2:37" ht="19.5" customHeight="1" x14ac:dyDescent="0.3">
      <c r="B44" s="155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8"/>
      <c r="AK44" s="148"/>
    </row>
    <row r="45" spans="2:37" ht="19.5" customHeight="1" x14ac:dyDescent="0.3">
      <c r="B45" s="155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8"/>
      <c r="AK45" s="148"/>
    </row>
    <row r="46" spans="2:37" ht="19.5" customHeight="1" x14ac:dyDescent="0.3">
      <c r="B46" s="155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8"/>
      <c r="AK46" s="148"/>
    </row>
    <row r="47" spans="2:37" ht="19.5" customHeight="1" x14ac:dyDescent="0.3">
      <c r="B47" s="159"/>
      <c r="C47" s="160"/>
      <c r="D47" s="160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13"/>
      <c r="AK47" s="148"/>
    </row>
    <row r="48" spans="2:37" ht="19.5" customHeight="1" x14ac:dyDescent="0.3">
      <c r="B48" s="159"/>
      <c r="C48" s="160"/>
      <c r="D48" s="160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13"/>
      <c r="AK48" s="148"/>
    </row>
    <row r="49" spans="1:38" ht="19.5" customHeight="1" x14ac:dyDescent="0.3">
      <c r="B49" s="161"/>
      <c r="C49" s="162"/>
      <c r="D49" s="162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9"/>
      <c r="AK49" s="148"/>
    </row>
    <row r="51" spans="1:38" ht="19.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82" customFormat="1" ht="19.5" customHeight="1" x14ac:dyDescent="0.3">
      <c r="A52" s="177"/>
      <c r="B52" s="178"/>
      <c r="C52" s="178"/>
      <c r="D52" s="178"/>
      <c r="E52" s="178"/>
      <c r="F52" s="178"/>
      <c r="G52" s="178"/>
      <c r="H52" s="178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80"/>
      <c r="AC52" s="181" t="str">
        <f>'[1]1.1'!$CI$2</f>
        <v>REGISTRO SENASICA</v>
      </c>
      <c r="AD52" s="181"/>
      <c r="AE52" s="181"/>
      <c r="AF52" s="181"/>
      <c r="AG52" s="181"/>
      <c r="AH52" s="181"/>
      <c r="AI52" s="181"/>
      <c r="AJ52" s="181"/>
      <c r="AL52" s="177"/>
    </row>
    <row r="53" spans="1:38" s="182" customFormat="1" ht="19.5" customHeight="1" x14ac:dyDescent="0.3">
      <c r="A53" s="177"/>
      <c r="B53" s="178"/>
      <c r="C53" s="178"/>
      <c r="D53" s="178"/>
      <c r="E53" s="178"/>
      <c r="F53" s="178"/>
      <c r="G53" s="178"/>
      <c r="H53" s="178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80"/>
      <c r="AC53" s="181"/>
      <c r="AD53" s="181"/>
      <c r="AE53" s="181"/>
      <c r="AF53" s="181"/>
      <c r="AG53" s="181"/>
      <c r="AH53" s="181"/>
      <c r="AI53" s="181"/>
      <c r="AJ53" s="181"/>
      <c r="AL53" s="177"/>
    </row>
    <row r="54" spans="1:38" s="182" customFormat="1" ht="19.5" customHeight="1" x14ac:dyDescent="0.3">
      <c r="A54" s="177"/>
      <c r="B54" s="178"/>
      <c r="C54" s="178"/>
      <c r="D54" s="178"/>
      <c r="E54" s="178"/>
      <c r="F54" s="178"/>
      <c r="G54" s="178"/>
      <c r="H54" s="178"/>
      <c r="I54" s="183" t="s">
        <v>102</v>
      </c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4" t="s">
        <v>82</v>
      </c>
      <c r="AD54" s="184"/>
      <c r="AE54" s="184"/>
      <c r="AF54" s="184"/>
      <c r="AG54" s="185"/>
      <c r="AH54" s="185"/>
      <c r="AI54" s="185"/>
      <c r="AJ54" s="185"/>
      <c r="AL54" s="177"/>
    </row>
    <row r="55" spans="1:38" s="182" customFormat="1" ht="19.5" customHeight="1" x14ac:dyDescent="0.3">
      <c r="A55" s="177"/>
      <c r="B55" s="178"/>
      <c r="C55" s="178"/>
      <c r="D55" s="178"/>
      <c r="E55" s="178"/>
      <c r="F55" s="178"/>
      <c r="G55" s="178"/>
      <c r="H55" s="178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4" t="s">
        <v>83</v>
      </c>
      <c r="AD55" s="184"/>
      <c r="AE55" s="184"/>
      <c r="AF55" s="184"/>
      <c r="AG55" s="185"/>
      <c r="AH55" s="185"/>
      <c r="AI55" s="185"/>
      <c r="AJ55" s="185"/>
      <c r="AL55" s="177"/>
    </row>
    <row r="56" spans="1:38" s="182" customFormat="1" ht="19.5" customHeight="1" thickBot="1" x14ac:dyDescent="0.35">
      <c r="A56" s="177"/>
      <c r="B56" s="178"/>
      <c r="C56" s="178"/>
      <c r="D56" s="178"/>
      <c r="E56" s="178"/>
      <c r="F56" s="178"/>
      <c r="G56" s="178"/>
      <c r="H56" s="178"/>
      <c r="I56" s="186" t="str">
        <f>'[1]1.1'!$D$28</f>
        <v>RPP-DOC-2.5</v>
      </c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4" t="s">
        <v>84</v>
      </c>
      <c r="AD56" s="184"/>
      <c r="AE56" s="184"/>
      <c r="AF56" s="184"/>
      <c r="AG56" s="187"/>
      <c r="AH56" s="187"/>
      <c r="AI56" s="187"/>
      <c r="AJ56" s="187"/>
      <c r="AL56" s="177"/>
    </row>
    <row r="57" spans="1:38" ht="19.5" customHeight="1" x14ac:dyDescent="0.3">
      <c r="A57" s="1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6"/>
    </row>
    <row r="58" spans="1:38" ht="19.5" customHeight="1" x14ac:dyDescent="0.3">
      <c r="B58" s="145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7"/>
      <c r="AK58" s="148"/>
    </row>
    <row r="59" spans="1:38" ht="19.5" customHeight="1" x14ac:dyDescent="0.3">
      <c r="B59" s="149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71"/>
      <c r="AK59" s="148"/>
    </row>
    <row r="60" spans="1:38" ht="19.5" customHeight="1" x14ac:dyDescent="0.3">
      <c r="B60" s="149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71"/>
      <c r="AK60" s="148"/>
    </row>
    <row r="61" spans="1:38" ht="19.5" customHeight="1" x14ac:dyDescent="0.3">
      <c r="B61" s="172"/>
      <c r="C61" s="167" t="s">
        <v>0</v>
      </c>
      <c r="D61" s="168"/>
      <c r="E61" s="169" t="s">
        <v>85</v>
      </c>
      <c r="F61" s="169"/>
      <c r="G61" s="169"/>
      <c r="H61" s="169"/>
      <c r="I61" s="169"/>
      <c r="J61" s="169"/>
      <c r="K61" s="170" t="s">
        <v>2</v>
      </c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4"/>
      <c r="AK61" s="148"/>
    </row>
    <row r="62" spans="1:38" ht="19.5" customHeight="1" x14ac:dyDescent="0.3">
      <c r="B62" s="172"/>
      <c r="C62" s="167"/>
      <c r="D62" s="168"/>
      <c r="E62" s="169"/>
      <c r="F62" s="169"/>
      <c r="G62" s="169"/>
      <c r="H62" s="169"/>
      <c r="I62" s="169"/>
      <c r="J62" s="169"/>
      <c r="K62" s="170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4"/>
      <c r="AK62" s="148"/>
    </row>
    <row r="63" spans="1:38" ht="19.5" customHeight="1" x14ac:dyDescent="0.3">
      <c r="B63" s="172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74"/>
      <c r="AK63" s="148"/>
    </row>
    <row r="64" spans="1:38" ht="19.5" customHeight="1" x14ac:dyDescent="0.3">
      <c r="B64" s="172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74"/>
      <c r="AK64" s="148"/>
    </row>
    <row r="65" spans="2:37" ht="19.5" customHeight="1" x14ac:dyDescent="0.3">
      <c r="B65" s="172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74"/>
      <c r="AK65" s="148"/>
    </row>
    <row r="66" spans="2:37" ht="19.5" customHeight="1" x14ac:dyDescent="0.3">
      <c r="B66" s="172"/>
      <c r="C66" s="175"/>
      <c r="D66" s="175"/>
      <c r="E66" s="188" t="s">
        <v>103</v>
      </c>
      <c r="F66" s="188"/>
      <c r="G66" s="188"/>
      <c r="H66" s="188"/>
      <c r="I66" s="188"/>
      <c r="J66" s="188"/>
      <c r="K66" s="189" t="s">
        <v>86</v>
      </c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74"/>
      <c r="AK66" s="148"/>
    </row>
    <row r="67" spans="2:37" ht="19.5" customHeight="1" x14ac:dyDescent="0.3">
      <c r="B67" s="172"/>
      <c r="C67" s="175"/>
      <c r="D67" s="175"/>
      <c r="E67" s="188"/>
      <c r="F67" s="188"/>
      <c r="G67" s="188"/>
      <c r="H67" s="188"/>
      <c r="I67" s="188"/>
      <c r="J67" s="188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74"/>
      <c r="AK67" s="148"/>
    </row>
    <row r="68" spans="2:37" ht="19.5" customHeight="1" x14ac:dyDescent="0.3">
      <c r="B68" s="172"/>
      <c r="C68" s="157"/>
      <c r="D68" s="157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74"/>
      <c r="AK68" s="148"/>
    </row>
    <row r="69" spans="2:37" ht="19.5" customHeight="1" x14ac:dyDescent="0.3">
      <c r="B69" s="172"/>
      <c r="C69" s="175"/>
      <c r="D69" s="175"/>
      <c r="E69" s="188" t="s">
        <v>104</v>
      </c>
      <c r="F69" s="188"/>
      <c r="G69" s="188"/>
      <c r="H69" s="188"/>
      <c r="I69" s="188"/>
      <c r="J69" s="188"/>
      <c r="K69" s="189" t="s">
        <v>86</v>
      </c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74"/>
      <c r="AK69" s="148"/>
    </row>
    <row r="70" spans="2:37" ht="19.5" customHeight="1" x14ac:dyDescent="0.3">
      <c r="B70" s="172"/>
      <c r="C70" s="175"/>
      <c r="D70" s="175"/>
      <c r="E70" s="188"/>
      <c r="F70" s="188"/>
      <c r="G70" s="188"/>
      <c r="H70" s="188"/>
      <c r="I70" s="188"/>
      <c r="J70" s="188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74"/>
      <c r="AK70" s="148"/>
    </row>
    <row r="71" spans="2:37" ht="19.5" customHeight="1" x14ac:dyDescent="0.3">
      <c r="B71" s="172"/>
      <c r="C71" s="157"/>
      <c r="D71" s="157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2"/>
      <c r="AD71" s="192"/>
      <c r="AE71" s="192"/>
      <c r="AF71" s="192"/>
      <c r="AG71" s="192"/>
      <c r="AH71" s="192"/>
      <c r="AI71" s="192"/>
      <c r="AJ71" s="174"/>
      <c r="AK71" s="148"/>
    </row>
    <row r="72" spans="2:37" ht="19.5" customHeight="1" x14ac:dyDescent="0.3">
      <c r="B72" s="172"/>
      <c r="C72" s="175"/>
      <c r="D72" s="175"/>
      <c r="E72" s="188" t="s">
        <v>105</v>
      </c>
      <c r="F72" s="188"/>
      <c r="G72" s="188"/>
      <c r="H72" s="188"/>
      <c r="I72" s="188"/>
      <c r="J72" s="188"/>
      <c r="K72" s="189" t="s">
        <v>86</v>
      </c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74"/>
      <c r="AK72" s="148"/>
    </row>
    <row r="73" spans="2:37" ht="19.5" customHeight="1" x14ac:dyDescent="0.3">
      <c r="B73" s="172"/>
      <c r="C73" s="175"/>
      <c r="D73" s="175"/>
      <c r="E73" s="188"/>
      <c r="F73" s="188"/>
      <c r="G73" s="188"/>
      <c r="H73" s="188"/>
      <c r="I73" s="188"/>
      <c r="J73" s="188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74"/>
      <c r="AK73" s="148"/>
    </row>
    <row r="74" spans="2:37" ht="19.5" customHeight="1" x14ac:dyDescent="0.3">
      <c r="B74" s="172"/>
      <c r="C74" s="157"/>
      <c r="D74" s="157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74"/>
      <c r="AK74" s="148"/>
    </row>
    <row r="75" spans="2:37" ht="19.5" customHeight="1" x14ac:dyDescent="0.3">
      <c r="B75" s="172"/>
      <c r="C75" s="175"/>
      <c r="D75" s="175"/>
      <c r="E75" s="188" t="s">
        <v>106</v>
      </c>
      <c r="F75" s="188"/>
      <c r="G75" s="188"/>
      <c r="H75" s="188"/>
      <c r="I75" s="188"/>
      <c r="J75" s="188"/>
      <c r="K75" s="189" t="s">
        <v>86</v>
      </c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74"/>
      <c r="AK75" s="148"/>
    </row>
    <row r="76" spans="2:37" ht="19.5" customHeight="1" x14ac:dyDescent="0.3">
      <c r="B76" s="172"/>
      <c r="C76" s="175"/>
      <c r="D76" s="175"/>
      <c r="E76" s="188"/>
      <c r="F76" s="188"/>
      <c r="G76" s="188"/>
      <c r="H76" s="188"/>
      <c r="I76" s="188"/>
      <c r="J76" s="188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74"/>
      <c r="AK76" s="148"/>
    </row>
    <row r="77" spans="2:37" ht="19.5" customHeight="1" x14ac:dyDescent="0.3">
      <c r="B77" s="172"/>
      <c r="C77" s="157"/>
      <c r="D77" s="157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74"/>
      <c r="AK77" s="148"/>
    </row>
    <row r="78" spans="2:37" ht="19.5" customHeight="1" x14ac:dyDescent="0.3">
      <c r="B78" s="172"/>
      <c r="C78" s="175"/>
      <c r="D78" s="175"/>
      <c r="E78" s="188" t="s">
        <v>107</v>
      </c>
      <c r="F78" s="188"/>
      <c r="G78" s="188"/>
      <c r="H78" s="188"/>
      <c r="I78" s="188"/>
      <c r="J78" s="188"/>
      <c r="K78" s="189" t="s">
        <v>86</v>
      </c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74"/>
      <c r="AK78" s="148"/>
    </row>
    <row r="79" spans="2:37" ht="19.5" customHeight="1" x14ac:dyDescent="0.3">
      <c r="B79" s="172"/>
      <c r="C79" s="175"/>
      <c r="D79" s="175"/>
      <c r="E79" s="188"/>
      <c r="F79" s="188"/>
      <c r="G79" s="188"/>
      <c r="H79" s="188"/>
      <c r="I79" s="188"/>
      <c r="J79" s="188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74"/>
      <c r="AK79" s="148"/>
    </row>
    <row r="80" spans="2:37" ht="19.5" customHeight="1" x14ac:dyDescent="0.3">
      <c r="B80" s="172"/>
      <c r="C80" s="157"/>
      <c r="D80" s="157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3"/>
      <c r="AD80" s="193"/>
      <c r="AE80" s="193"/>
      <c r="AF80" s="193"/>
      <c r="AG80" s="193"/>
      <c r="AH80" s="193"/>
      <c r="AI80" s="193"/>
      <c r="AJ80" s="174"/>
      <c r="AK80" s="148"/>
    </row>
    <row r="81" spans="2:37" ht="19.5" customHeight="1" x14ac:dyDescent="0.3">
      <c r="B81" s="172"/>
      <c r="C81" s="157"/>
      <c r="D81" s="157"/>
      <c r="E81" s="188" t="s">
        <v>108</v>
      </c>
      <c r="F81" s="188"/>
      <c r="G81" s="188"/>
      <c r="H81" s="188"/>
      <c r="I81" s="188"/>
      <c r="J81" s="188"/>
      <c r="K81" s="189" t="s">
        <v>86</v>
      </c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74"/>
      <c r="AK81" s="148"/>
    </row>
    <row r="82" spans="2:37" ht="19.5" customHeight="1" x14ac:dyDescent="0.3">
      <c r="B82" s="172"/>
      <c r="C82" s="157"/>
      <c r="D82" s="157"/>
      <c r="E82" s="188"/>
      <c r="F82" s="188"/>
      <c r="G82" s="188"/>
      <c r="H82" s="188"/>
      <c r="I82" s="188"/>
      <c r="J82" s="188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74"/>
      <c r="AK82" s="148"/>
    </row>
    <row r="83" spans="2:37" ht="19.5" customHeight="1" x14ac:dyDescent="0.3">
      <c r="B83" s="172"/>
      <c r="C83" s="157"/>
      <c r="D83" s="157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3"/>
      <c r="AD83" s="193"/>
      <c r="AE83" s="193"/>
      <c r="AF83" s="193"/>
      <c r="AG83" s="193"/>
      <c r="AH83" s="193"/>
      <c r="AI83" s="193"/>
      <c r="AJ83" s="174"/>
      <c r="AK83" s="148"/>
    </row>
    <row r="84" spans="2:37" ht="19.5" customHeight="1" x14ac:dyDescent="0.3">
      <c r="B84" s="172"/>
      <c r="C84" s="157"/>
      <c r="D84" s="157"/>
      <c r="E84" s="188" t="s">
        <v>109</v>
      </c>
      <c r="F84" s="188"/>
      <c r="G84" s="188"/>
      <c r="H84" s="188"/>
      <c r="I84" s="188"/>
      <c r="J84" s="188"/>
      <c r="K84" s="189" t="s">
        <v>86</v>
      </c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74"/>
      <c r="AK84" s="148"/>
    </row>
    <row r="85" spans="2:37" ht="19.5" customHeight="1" x14ac:dyDescent="0.3">
      <c r="B85" s="172"/>
      <c r="C85" s="157"/>
      <c r="D85" s="157"/>
      <c r="E85" s="188"/>
      <c r="F85" s="188"/>
      <c r="G85" s="188"/>
      <c r="H85" s="188"/>
      <c r="I85" s="188"/>
      <c r="J85" s="188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74"/>
      <c r="AK85" s="148"/>
    </row>
    <row r="86" spans="2:37" ht="19.5" customHeight="1" x14ac:dyDescent="0.3">
      <c r="B86" s="159"/>
      <c r="C86" s="160"/>
      <c r="D86" s="160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74"/>
      <c r="AK86" s="148"/>
    </row>
    <row r="87" spans="2:37" ht="19.5" customHeight="1" x14ac:dyDescent="0.3">
      <c r="B87" s="159"/>
      <c r="C87" s="160"/>
      <c r="D87" s="160"/>
      <c r="E87" s="188" t="s">
        <v>106</v>
      </c>
      <c r="F87" s="188"/>
      <c r="G87" s="188"/>
      <c r="H87" s="188"/>
      <c r="I87" s="188"/>
      <c r="J87" s="188"/>
      <c r="K87" s="189" t="s">
        <v>86</v>
      </c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74"/>
      <c r="AK87" s="148"/>
    </row>
    <row r="88" spans="2:37" ht="19.5" customHeight="1" x14ac:dyDescent="0.3">
      <c r="B88" s="159"/>
      <c r="C88" s="160"/>
      <c r="D88" s="160"/>
      <c r="E88" s="188"/>
      <c r="F88" s="188"/>
      <c r="G88" s="188"/>
      <c r="H88" s="188"/>
      <c r="I88" s="188"/>
      <c r="J88" s="188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74"/>
      <c r="AK88" s="148"/>
    </row>
    <row r="89" spans="2:37" ht="19.5" customHeight="1" x14ac:dyDescent="0.3">
      <c r="B89" s="159"/>
      <c r="C89" s="160"/>
      <c r="D89" s="160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74"/>
      <c r="AK89" s="148"/>
    </row>
    <row r="90" spans="2:37" ht="19.5" customHeight="1" x14ac:dyDescent="0.3">
      <c r="B90" s="159"/>
      <c r="C90" s="160"/>
      <c r="D90" s="160"/>
      <c r="E90" s="188" t="s">
        <v>107</v>
      </c>
      <c r="F90" s="188"/>
      <c r="G90" s="188"/>
      <c r="H90" s="188"/>
      <c r="I90" s="188"/>
      <c r="J90" s="188"/>
      <c r="K90" s="189" t="s">
        <v>86</v>
      </c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74"/>
      <c r="AK90" s="148"/>
    </row>
    <row r="91" spans="2:37" ht="19.5" customHeight="1" x14ac:dyDescent="0.3">
      <c r="B91" s="159"/>
      <c r="C91" s="160"/>
      <c r="D91" s="160"/>
      <c r="E91" s="188"/>
      <c r="F91" s="188"/>
      <c r="G91" s="188"/>
      <c r="H91" s="188"/>
      <c r="I91" s="188"/>
      <c r="J91" s="188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74"/>
      <c r="AK91" s="148"/>
    </row>
    <row r="92" spans="2:37" ht="19.5" customHeight="1" x14ac:dyDescent="0.3">
      <c r="B92" s="159"/>
      <c r="C92" s="160"/>
      <c r="D92" s="160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74"/>
      <c r="AK92" s="148"/>
    </row>
    <row r="93" spans="2:37" ht="19.5" customHeight="1" x14ac:dyDescent="0.3">
      <c r="B93" s="159"/>
      <c r="C93" s="160"/>
      <c r="D93" s="160"/>
      <c r="E93" s="188" t="s">
        <v>108</v>
      </c>
      <c r="F93" s="188"/>
      <c r="G93" s="188"/>
      <c r="H93" s="188"/>
      <c r="I93" s="188"/>
      <c r="J93" s="188"/>
      <c r="K93" s="189" t="s">
        <v>86</v>
      </c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74"/>
      <c r="AK93" s="148"/>
    </row>
    <row r="94" spans="2:37" ht="19.5" customHeight="1" x14ac:dyDescent="0.3">
      <c r="B94" s="159"/>
      <c r="C94" s="160"/>
      <c r="D94" s="160"/>
      <c r="E94" s="188"/>
      <c r="F94" s="188"/>
      <c r="G94" s="188"/>
      <c r="H94" s="188"/>
      <c r="I94" s="188"/>
      <c r="J94" s="188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74"/>
      <c r="AK94" s="148"/>
    </row>
    <row r="95" spans="2:37" ht="19.5" customHeight="1" x14ac:dyDescent="0.3">
      <c r="B95" s="159"/>
      <c r="C95" s="160"/>
      <c r="D95" s="160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74"/>
      <c r="AK95" s="148"/>
    </row>
    <row r="96" spans="2:37" ht="19.5" customHeight="1" x14ac:dyDescent="0.3">
      <c r="B96" s="159"/>
      <c r="E96" s="188" t="s">
        <v>110</v>
      </c>
      <c r="F96" s="188"/>
      <c r="G96" s="188"/>
      <c r="H96" s="188"/>
      <c r="I96" s="188"/>
      <c r="J96" s="188"/>
      <c r="K96" s="189" t="s">
        <v>86</v>
      </c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74"/>
      <c r="AK96" s="148"/>
    </row>
    <row r="97" spans="1:37" ht="19.5" customHeight="1" x14ac:dyDescent="0.3">
      <c r="B97" s="159"/>
      <c r="E97" s="188"/>
      <c r="F97" s="188"/>
      <c r="G97" s="188"/>
      <c r="H97" s="188"/>
      <c r="I97" s="188"/>
      <c r="J97" s="188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74"/>
    </row>
    <row r="98" spans="1:37" ht="19.5" customHeight="1" x14ac:dyDescent="0.3">
      <c r="B98" s="159"/>
      <c r="AJ98" s="174"/>
    </row>
    <row r="99" spans="1:37" ht="19.5" customHeight="1" x14ac:dyDescent="0.3">
      <c r="B99" s="161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76"/>
    </row>
    <row r="101" spans="1:37" ht="19.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s="182" customFormat="1" ht="19.5" customHeight="1" x14ac:dyDescent="0.3">
      <c r="A102" s="177"/>
      <c r="B102" s="178"/>
      <c r="C102" s="178"/>
      <c r="D102" s="178"/>
      <c r="E102" s="178"/>
      <c r="F102" s="178"/>
      <c r="G102" s="178"/>
      <c r="H102" s="178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80"/>
      <c r="AC102" s="181" t="str">
        <f>'[1]1.1'!$CI$2</f>
        <v>REGISTRO SENASICA</v>
      </c>
      <c r="AD102" s="181"/>
      <c r="AE102" s="181"/>
      <c r="AF102" s="181"/>
      <c r="AG102" s="181"/>
      <c r="AH102" s="181"/>
      <c r="AI102" s="181"/>
      <c r="AJ102" s="181"/>
    </row>
    <row r="103" spans="1:37" s="182" customFormat="1" ht="19.5" customHeight="1" x14ac:dyDescent="0.3">
      <c r="A103" s="177"/>
      <c r="B103" s="178"/>
      <c r="C103" s="178"/>
      <c r="D103" s="178"/>
      <c r="E103" s="178"/>
      <c r="F103" s="178"/>
      <c r="G103" s="178"/>
      <c r="H103" s="178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80"/>
      <c r="AC103" s="181"/>
      <c r="AD103" s="181"/>
      <c r="AE103" s="181"/>
      <c r="AF103" s="181"/>
      <c r="AG103" s="181"/>
      <c r="AH103" s="181"/>
      <c r="AI103" s="181"/>
      <c r="AJ103" s="181"/>
    </row>
    <row r="104" spans="1:37" s="182" customFormat="1" ht="19.5" customHeight="1" x14ac:dyDescent="0.3">
      <c r="A104" s="177"/>
      <c r="B104" s="178"/>
      <c r="C104" s="178"/>
      <c r="D104" s="178"/>
      <c r="E104" s="178"/>
      <c r="F104" s="178"/>
      <c r="G104" s="178"/>
      <c r="H104" s="178"/>
      <c r="I104" s="183" t="s">
        <v>102</v>
      </c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4" t="s">
        <v>82</v>
      </c>
      <c r="AD104" s="184"/>
      <c r="AE104" s="184"/>
      <c r="AF104" s="184"/>
      <c r="AG104" s="185"/>
      <c r="AH104" s="185"/>
      <c r="AI104" s="185"/>
      <c r="AJ104" s="185"/>
    </row>
    <row r="105" spans="1:37" s="182" customFormat="1" ht="19.5" customHeight="1" x14ac:dyDescent="0.3">
      <c r="A105" s="177"/>
      <c r="B105" s="178"/>
      <c r="C105" s="178"/>
      <c r="D105" s="178"/>
      <c r="E105" s="178"/>
      <c r="F105" s="178"/>
      <c r="G105" s="178"/>
      <c r="H105" s="178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4" t="s">
        <v>83</v>
      </c>
      <c r="AD105" s="184"/>
      <c r="AE105" s="184"/>
      <c r="AF105" s="184"/>
      <c r="AG105" s="185"/>
      <c r="AH105" s="185"/>
      <c r="AI105" s="185"/>
      <c r="AJ105" s="185"/>
    </row>
    <row r="106" spans="1:37" s="182" customFormat="1" ht="19.5" customHeight="1" thickBot="1" x14ac:dyDescent="0.35">
      <c r="A106" s="177"/>
      <c r="B106" s="178"/>
      <c r="C106" s="178"/>
      <c r="D106" s="178"/>
      <c r="E106" s="178"/>
      <c r="F106" s="178"/>
      <c r="G106" s="178"/>
      <c r="H106" s="178"/>
      <c r="I106" s="186" t="str">
        <f>'[1]1.1'!$D$28</f>
        <v>RPP-DOC-2.5</v>
      </c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4" t="s">
        <v>84</v>
      </c>
      <c r="AD106" s="184"/>
      <c r="AE106" s="184"/>
      <c r="AF106" s="184"/>
      <c r="AG106" s="187"/>
      <c r="AH106" s="187"/>
      <c r="AI106" s="187"/>
      <c r="AJ106" s="187"/>
    </row>
    <row r="107" spans="1:37" ht="19.5" customHeight="1" x14ac:dyDescent="0.3">
      <c r="A107" s="16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9.5" customHeight="1" x14ac:dyDescent="0.3">
      <c r="B108" s="145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7"/>
      <c r="AK108" s="148"/>
    </row>
    <row r="109" spans="1:37" ht="19.5" customHeight="1" x14ac:dyDescent="0.3">
      <c r="B109" s="149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71"/>
      <c r="AK109" s="148"/>
    </row>
    <row r="110" spans="1:37" ht="19.5" customHeight="1" x14ac:dyDescent="0.3">
      <c r="B110" s="149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71"/>
      <c r="AK110" s="148"/>
    </row>
    <row r="111" spans="1:37" ht="19.5" customHeight="1" x14ac:dyDescent="0.3">
      <c r="B111" s="172"/>
      <c r="C111" s="167" t="s">
        <v>0</v>
      </c>
      <c r="D111" s="168"/>
      <c r="E111" s="169" t="s">
        <v>85</v>
      </c>
      <c r="F111" s="169"/>
      <c r="G111" s="169"/>
      <c r="H111" s="169"/>
      <c r="I111" s="169"/>
      <c r="J111" s="169"/>
      <c r="K111" s="170" t="s">
        <v>2</v>
      </c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4"/>
      <c r="AK111" s="148"/>
    </row>
    <row r="112" spans="1:37" ht="19.5" customHeight="1" x14ac:dyDescent="0.3">
      <c r="B112" s="172"/>
      <c r="C112" s="167"/>
      <c r="D112" s="168"/>
      <c r="E112" s="169"/>
      <c r="F112" s="169"/>
      <c r="G112" s="169"/>
      <c r="H112" s="169"/>
      <c r="I112" s="169"/>
      <c r="J112" s="169"/>
      <c r="K112" s="170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4"/>
      <c r="AK112" s="148"/>
    </row>
    <row r="113" spans="2:37" ht="19.5" customHeight="1" x14ac:dyDescent="0.3">
      <c r="B113" s="172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74"/>
      <c r="AK113" s="148"/>
    </row>
    <row r="114" spans="2:37" ht="19.5" customHeight="1" x14ac:dyDescent="0.3">
      <c r="B114" s="172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74"/>
      <c r="AK114" s="148"/>
    </row>
    <row r="115" spans="2:37" ht="19.5" customHeight="1" x14ac:dyDescent="0.3">
      <c r="B115" s="172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74"/>
      <c r="AK115" s="148"/>
    </row>
    <row r="116" spans="2:37" ht="19.5" customHeight="1" x14ac:dyDescent="0.3">
      <c r="B116" s="172"/>
      <c r="C116" s="175"/>
      <c r="D116" s="175"/>
      <c r="E116" s="188" t="s">
        <v>103</v>
      </c>
      <c r="F116" s="188"/>
      <c r="G116" s="188"/>
      <c r="H116" s="188"/>
      <c r="I116" s="188"/>
      <c r="J116" s="188"/>
      <c r="K116" s="189" t="s">
        <v>86</v>
      </c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74"/>
      <c r="AK116" s="148"/>
    </row>
    <row r="117" spans="2:37" ht="19.5" customHeight="1" x14ac:dyDescent="0.3">
      <c r="B117" s="172"/>
      <c r="C117" s="175"/>
      <c r="D117" s="175"/>
      <c r="E117" s="188"/>
      <c r="F117" s="188"/>
      <c r="G117" s="188"/>
      <c r="H117" s="188"/>
      <c r="I117" s="188"/>
      <c r="J117" s="188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74"/>
      <c r="AK117" s="148"/>
    </row>
    <row r="118" spans="2:37" ht="19.5" customHeight="1" x14ac:dyDescent="0.3">
      <c r="B118" s="172"/>
      <c r="C118" s="157"/>
      <c r="D118" s="157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74"/>
      <c r="AK118" s="148"/>
    </row>
    <row r="119" spans="2:37" ht="19.5" customHeight="1" x14ac:dyDescent="0.3">
      <c r="B119" s="172"/>
      <c r="C119" s="175"/>
      <c r="D119" s="175"/>
      <c r="E119" s="188" t="s">
        <v>111</v>
      </c>
      <c r="F119" s="188"/>
      <c r="G119" s="188"/>
      <c r="H119" s="188"/>
      <c r="I119" s="188"/>
      <c r="J119" s="188"/>
      <c r="K119" s="189" t="s">
        <v>86</v>
      </c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74"/>
      <c r="AK119" s="148"/>
    </row>
    <row r="120" spans="2:37" ht="19.5" customHeight="1" x14ac:dyDescent="0.3">
      <c r="B120" s="172"/>
      <c r="C120" s="175"/>
      <c r="D120" s="175"/>
      <c r="E120" s="188"/>
      <c r="F120" s="188"/>
      <c r="G120" s="188"/>
      <c r="H120" s="188"/>
      <c r="I120" s="188"/>
      <c r="J120" s="188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74"/>
      <c r="AK120" s="148"/>
    </row>
    <row r="121" spans="2:37" ht="19.5" customHeight="1" x14ac:dyDescent="0.3">
      <c r="B121" s="172"/>
      <c r="C121" s="157"/>
      <c r="D121" s="157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2"/>
      <c r="AD121" s="192"/>
      <c r="AE121" s="192"/>
      <c r="AF121" s="192"/>
      <c r="AG121" s="192"/>
      <c r="AH121" s="192"/>
      <c r="AI121" s="192"/>
      <c r="AJ121" s="174"/>
      <c r="AK121" s="148"/>
    </row>
    <row r="122" spans="2:37" ht="19.5" customHeight="1" x14ac:dyDescent="0.3">
      <c r="B122" s="172"/>
      <c r="C122" s="175"/>
      <c r="D122" s="175"/>
      <c r="E122" s="188" t="s">
        <v>105</v>
      </c>
      <c r="F122" s="188"/>
      <c r="G122" s="188"/>
      <c r="H122" s="188"/>
      <c r="I122" s="188"/>
      <c r="J122" s="188"/>
      <c r="K122" s="189" t="s">
        <v>86</v>
      </c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74"/>
      <c r="AK122" s="148"/>
    </row>
    <row r="123" spans="2:37" ht="19.5" customHeight="1" x14ac:dyDescent="0.3">
      <c r="B123" s="172"/>
      <c r="C123" s="175"/>
      <c r="D123" s="175"/>
      <c r="E123" s="188"/>
      <c r="F123" s="188"/>
      <c r="G123" s="188"/>
      <c r="H123" s="188"/>
      <c r="I123" s="188"/>
      <c r="J123" s="188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74"/>
      <c r="AK123" s="148"/>
    </row>
    <row r="124" spans="2:37" ht="19.5" customHeight="1" x14ac:dyDescent="0.3">
      <c r="B124" s="172"/>
      <c r="C124" s="157"/>
      <c r="D124" s="157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0"/>
      <c r="AH124" s="190"/>
      <c r="AI124" s="190"/>
      <c r="AJ124" s="174"/>
      <c r="AK124" s="148"/>
    </row>
    <row r="125" spans="2:37" ht="19.5" customHeight="1" x14ac:dyDescent="0.3">
      <c r="B125" s="172"/>
      <c r="C125" s="175"/>
      <c r="D125" s="175"/>
      <c r="E125" s="188" t="s">
        <v>112</v>
      </c>
      <c r="F125" s="188"/>
      <c r="G125" s="188"/>
      <c r="H125" s="188"/>
      <c r="I125" s="188"/>
      <c r="J125" s="188"/>
      <c r="K125" s="189" t="s">
        <v>86</v>
      </c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74"/>
      <c r="AK125" s="148"/>
    </row>
    <row r="126" spans="2:37" ht="19.5" customHeight="1" x14ac:dyDescent="0.3">
      <c r="B126" s="172"/>
      <c r="C126" s="175"/>
      <c r="D126" s="175"/>
      <c r="E126" s="188"/>
      <c r="F126" s="188"/>
      <c r="G126" s="188"/>
      <c r="H126" s="188"/>
      <c r="I126" s="188"/>
      <c r="J126" s="188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74"/>
      <c r="AK126" s="148"/>
    </row>
    <row r="127" spans="2:37" ht="19.5" customHeight="1" x14ac:dyDescent="0.3">
      <c r="B127" s="172"/>
      <c r="C127" s="157"/>
      <c r="D127" s="157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74"/>
      <c r="AK127" s="148"/>
    </row>
    <row r="128" spans="2:37" ht="19.5" customHeight="1" x14ac:dyDescent="0.3">
      <c r="B128" s="172"/>
      <c r="C128" s="175"/>
      <c r="D128" s="175"/>
      <c r="E128" s="188" t="s">
        <v>114</v>
      </c>
      <c r="F128" s="188"/>
      <c r="G128" s="188"/>
      <c r="H128" s="188"/>
      <c r="I128" s="188"/>
      <c r="J128" s="188"/>
      <c r="K128" s="189" t="s">
        <v>86</v>
      </c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74"/>
      <c r="AK128" s="148"/>
    </row>
    <row r="129" spans="2:37" ht="19.5" customHeight="1" x14ac:dyDescent="0.3">
      <c r="B129" s="172"/>
      <c r="C129" s="175"/>
      <c r="D129" s="175"/>
      <c r="E129" s="188"/>
      <c r="F129" s="188"/>
      <c r="G129" s="188"/>
      <c r="H129" s="188"/>
      <c r="I129" s="188"/>
      <c r="J129" s="188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74"/>
      <c r="AK129" s="148"/>
    </row>
    <row r="130" spans="2:37" ht="19.5" customHeight="1" x14ac:dyDescent="0.3">
      <c r="B130" s="172"/>
      <c r="C130" s="157"/>
      <c r="D130" s="157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3"/>
      <c r="AD130" s="193"/>
      <c r="AE130" s="193"/>
      <c r="AF130" s="193"/>
      <c r="AG130" s="193"/>
      <c r="AH130" s="193"/>
      <c r="AI130" s="193"/>
      <c r="AJ130" s="174"/>
      <c r="AK130" s="148"/>
    </row>
    <row r="131" spans="2:37" ht="19.5" customHeight="1" x14ac:dyDescent="0.3">
      <c r="B131" s="172"/>
      <c r="C131" s="157"/>
      <c r="D131" s="157"/>
      <c r="E131" s="188" t="s">
        <v>113</v>
      </c>
      <c r="F131" s="188"/>
      <c r="G131" s="188"/>
      <c r="H131" s="188"/>
      <c r="I131" s="188"/>
      <c r="J131" s="188"/>
      <c r="K131" s="189" t="s">
        <v>86</v>
      </c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74"/>
      <c r="AK131" s="148"/>
    </row>
    <row r="132" spans="2:37" ht="19.5" customHeight="1" x14ac:dyDescent="0.3">
      <c r="B132" s="172"/>
      <c r="C132" s="157"/>
      <c r="D132" s="157"/>
      <c r="E132" s="188"/>
      <c r="F132" s="188"/>
      <c r="G132" s="188"/>
      <c r="H132" s="188"/>
      <c r="I132" s="188"/>
      <c r="J132" s="188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74"/>
      <c r="AK132" s="148"/>
    </row>
    <row r="133" spans="2:37" ht="19.5" customHeight="1" x14ac:dyDescent="0.3">
      <c r="B133" s="172"/>
      <c r="C133" s="157"/>
      <c r="D133" s="157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3"/>
      <c r="AD133" s="193"/>
      <c r="AE133" s="193"/>
      <c r="AF133" s="193"/>
      <c r="AG133" s="193"/>
      <c r="AH133" s="193"/>
      <c r="AI133" s="193"/>
      <c r="AJ133" s="174"/>
      <c r="AK133" s="148"/>
    </row>
    <row r="134" spans="2:37" ht="19.5" customHeight="1" x14ac:dyDescent="0.3">
      <c r="B134" s="172"/>
      <c r="C134" s="157"/>
      <c r="D134" s="157"/>
      <c r="E134" s="188" t="s">
        <v>115</v>
      </c>
      <c r="F134" s="188"/>
      <c r="G134" s="188"/>
      <c r="H134" s="188"/>
      <c r="I134" s="188"/>
      <c r="J134" s="188"/>
      <c r="K134" s="189" t="s">
        <v>86</v>
      </c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74"/>
      <c r="AK134" s="148"/>
    </row>
    <row r="135" spans="2:37" ht="19.5" customHeight="1" x14ac:dyDescent="0.3">
      <c r="B135" s="172"/>
      <c r="C135" s="157"/>
      <c r="D135" s="157"/>
      <c r="E135" s="188"/>
      <c r="F135" s="188"/>
      <c r="G135" s="188"/>
      <c r="H135" s="188"/>
      <c r="I135" s="188"/>
      <c r="J135" s="188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74"/>
      <c r="AK135" s="148"/>
    </row>
    <row r="136" spans="2:37" ht="19.5" customHeight="1" x14ac:dyDescent="0.3">
      <c r="B136" s="159"/>
      <c r="C136" s="160"/>
      <c r="D136" s="160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74"/>
      <c r="AK136" s="148"/>
    </row>
    <row r="137" spans="2:37" ht="19.5" customHeight="1" x14ac:dyDescent="0.3">
      <c r="B137" s="159"/>
      <c r="C137" s="160"/>
      <c r="D137" s="160"/>
      <c r="E137" s="188" t="s">
        <v>116</v>
      </c>
      <c r="F137" s="188"/>
      <c r="G137" s="188"/>
      <c r="H137" s="188"/>
      <c r="I137" s="188"/>
      <c r="J137" s="188"/>
      <c r="K137" s="189" t="s">
        <v>86</v>
      </c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74"/>
      <c r="AK137" s="148"/>
    </row>
    <row r="138" spans="2:37" ht="19.5" customHeight="1" x14ac:dyDescent="0.3">
      <c r="B138" s="159"/>
      <c r="C138" s="160"/>
      <c r="D138" s="160"/>
      <c r="E138" s="188"/>
      <c r="F138" s="188"/>
      <c r="G138" s="188"/>
      <c r="H138" s="188"/>
      <c r="I138" s="188"/>
      <c r="J138" s="188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74"/>
      <c r="AK138" s="148"/>
    </row>
    <row r="139" spans="2:37" ht="19.5" customHeight="1" x14ac:dyDescent="0.3">
      <c r="B139" s="159"/>
      <c r="C139" s="160"/>
      <c r="D139" s="160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74"/>
      <c r="AK139" s="148"/>
    </row>
    <row r="140" spans="2:37" ht="19.5" customHeight="1" x14ac:dyDescent="0.3">
      <c r="B140" s="159"/>
      <c r="C140" s="160"/>
      <c r="D140" s="160"/>
      <c r="E140" s="188" t="s">
        <v>117</v>
      </c>
      <c r="F140" s="188"/>
      <c r="G140" s="188"/>
      <c r="H140" s="188"/>
      <c r="I140" s="188"/>
      <c r="J140" s="188"/>
      <c r="K140" s="189" t="s">
        <v>86</v>
      </c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74"/>
      <c r="AK140" s="148"/>
    </row>
    <row r="141" spans="2:37" ht="19.5" customHeight="1" x14ac:dyDescent="0.3">
      <c r="B141" s="159"/>
      <c r="C141" s="160"/>
      <c r="D141" s="160"/>
      <c r="E141" s="188"/>
      <c r="F141" s="188"/>
      <c r="G141" s="188"/>
      <c r="H141" s="188"/>
      <c r="I141" s="188"/>
      <c r="J141" s="188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74"/>
      <c r="AK141" s="148"/>
    </row>
    <row r="142" spans="2:37" ht="19.5" customHeight="1" x14ac:dyDescent="0.3">
      <c r="B142" s="159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74"/>
      <c r="AK142" s="148"/>
    </row>
    <row r="143" spans="2:37" ht="19.5" customHeight="1" x14ac:dyDescent="0.3">
      <c r="B143" s="161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76"/>
      <c r="AK143" s="148"/>
    </row>
  </sheetData>
  <mergeCells count="129">
    <mergeCell ref="E137:J138"/>
    <mergeCell ref="K137:AI138"/>
    <mergeCell ref="E140:J141"/>
    <mergeCell ref="K140:AI141"/>
    <mergeCell ref="E93:J94"/>
    <mergeCell ref="K93:AI94"/>
    <mergeCell ref="E96:J97"/>
    <mergeCell ref="K96:AI97"/>
    <mergeCell ref="C128:D129"/>
    <mergeCell ref="E128:J129"/>
    <mergeCell ref="K128:AI129"/>
    <mergeCell ref="E131:J132"/>
    <mergeCell ref="K131:AI132"/>
    <mergeCell ref="E134:J135"/>
    <mergeCell ref="K134:AI135"/>
    <mergeCell ref="C122:D123"/>
    <mergeCell ref="E122:J123"/>
    <mergeCell ref="K122:AI123"/>
    <mergeCell ref="C125:D126"/>
    <mergeCell ref="E125:J126"/>
    <mergeCell ref="K125:AI126"/>
    <mergeCell ref="C115:AI115"/>
    <mergeCell ref="C116:D117"/>
    <mergeCell ref="E116:J117"/>
    <mergeCell ref="K116:AI117"/>
    <mergeCell ref="C119:D120"/>
    <mergeCell ref="E119:J120"/>
    <mergeCell ref="K119:AI120"/>
    <mergeCell ref="I106:AB106"/>
    <mergeCell ref="AC106:AF106"/>
    <mergeCell ref="AG106:AJ106"/>
    <mergeCell ref="B107:AK107"/>
    <mergeCell ref="C111:D112"/>
    <mergeCell ref="E111:J112"/>
    <mergeCell ref="K111:AI112"/>
    <mergeCell ref="B102:H106"/>
    <mergeCell ref="I102:AB102"/>
    <mergeCell ref="AC102:AJ102"/>
    <mergeCell ref="I103:AB103"/>
    <mergeCell ref="AC103:AJ103"/>
    <mergeCell ref="I104:AB105"/>
    <mergeCell ref="AC104:AF104"/>
    <mergeCell ref="AG104:AJ104"/>
    <mergeCell ref="AC105:AF105"/>
    <mergeCell ref="AG105:AJ105"/>
    <mergeCell ref="E84:J85"/>
    <mergeCell ref="K84:AI85"/>
    <mergeCell ref="E87:J88"/>
    <mergeCell ref="K87:AI88"/>
    <mergeCell ref="E90:J91"/>
    <mergeCell ref="K90:AI91"/>
    <mergeCell ref="AG4:AJ4"/>
    <mergeCell ref="I5:AB5"/>
    <mergeCell ref="AC5:AF5"/>
    <mergeCell ref="AG5:AJ5"/>
    <mergeCell ref="E81:J82"/>
    <mergeCell ref="K81:AI82"/>
    <mergeCell ref="I53:AB53"/>
    <mergeCell ref="AC53:AJ53"/>
    <mergeCell ref="I1:AB1"/>
    <mergeCell ref="AC1:AJ1"/>
    <mergeCell ref="I2:AB2"/>
    <mergeCell ref="AC2:AJ2"/>
    <mergeCell ref="I3:AB4"/>
    <mergeCell ref="AC3:AF3"/>
    <mergeCell ref="AG3:AJ3"/>
    <mergeCell ref="B1:H5"/>
    <mergeCell ref="AC4:AF4"/>
    <mergeCell ref="C75:D76"/>
    <mergeCell ref="E75:J76"/>
    <mergeCell ref="K75:AI76"/>
    <mergeCell ref="C78:D79"/>
    <mergeCell ref="E78:J79"/>
    <mergeCell ref="K78:AI79"/>
    <mergeCell ref="C69:D70"/>
    <mergeCell ref="E69:J70"/>
    <mergeCell ref="K69:AI70"/>
    <mergeCell ref="C72:D73"/>
    <mergeCell ref="E72:J73"/>
    <mergeCell ref="K72:AI73"/>
    <mergeCell ref="C61:D62"/>
    <mergeCell ref="E61:J62"/>
    <mergeCell ref="K61:AI62"/>
    <mergeCell ref="C65:AI65"/>
    <mergeCell ref="C66:D67"/>
    <mergeCell ref="E66:J67"/>
    <mergeCell ref="K66:AI67"/>
    <mergeCell ref="AC55:AF55"/>
    <mergeCell ref="AG55:AJ55"/>
    <mergeCell ref="I56:AB56"/>
    <mergeCell ref="AC56:AF56"/>
    <mergeCell ref="AG56:AJ56"/>
    <mergeCell ref="B57:AK57"/>
    <mergeCell ref="B38:K39"/>
    <mergeCell ref="L38:AJ39"/>
    <mergeCell ref="B40:K41"/>
    <mergeCell ref="L40:AJ41"/>
    <mergeCell ref="B52:H56"/>
    <mergeCell ref="I52:AB52"/>
    <mergeCell ref="AC52:AJ52"/>
    <mergeCell ref="I54:AB55"/>
    <mergeCell ref="AC54:AF54"/>
    <mergeCell ref="AG54:AJ54"/>
    <mergeCell ref="B32:K33"/>
    <mergeCell ref="L32:AJ33"/>
    <mergeCell ref="B34:K35"/>
    <mergeCell ref="L34:AJ35"/>
    <mergeCell ref="B36:K37"/>
    <mergeCell ref="L36:AJ37"/>
    <mergeCell ref="B26:K27"/>
    <mergeCell ref="L26:AJ27"/>
    <mergeCell ref="B28:K29"/>
    <mergeCell ref="L28:AJ29"/>
    <mergeCell ref="B30:K31"/>
    <mergeCell ref="L30:AJ31"/>
    <mergeCell ref="B20:K21"/>
    <mergeCell ref="L20:AJ21"/>
    <mergeCell ref="B22:K23"/>
    <mergeCell ref="L22:AJ23"/>
    <mergeCell ref="B24:K25"/>
    <mergeCell ref="L24:AJ25"/>
    <mergeCell ref="J11:AJ13"/>
    <mergeCell ref="J14:S15"/>
    <mergeCell ref="T14:AJ15"/>
    <mergeCell ref="J16:S17"/>
    <mergeCell ref="T16:AJ17"/>
    <mergeCell ref="B18:K19"/>
    <mergeCell ref="L18:AJ19"/>
    <mergeCell ref="B11:I17"/>
  </mergeCells>
  <printOptions horizontalCentered="1"/>
  <pageMargins left="0" right="0" top="0" bottom="0" header="0" footer="0"/>
  <pageSetup scale="76" orientation="portrait" r:id="rId1"/>
  <headerFooter>
    <oddHeader>&amp;L&amp;"Arial"&amp;8&amp;K000000 INTERNAL&amp;1#_x000D_</oddHeader>
  </headerFooter>
  <rowBreaks count="1" manualBreakCount="1">
    <brk id="50" max="36" man="1"/>
  </rowBreaks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PORTADA</vt:lpstr>
      <vt:lpstr>9.0</vt:lpstr>
      <vt:lpstr>9.1</vt:lpstr>
      <vt:lpstr>9.2</vt:lpstr>
      <vt:lpstr>'9.0'!Print_Area</vt:lpstr>
      <vt:lpstr>'9.1'!Print_Area</vt:lpstr>
      <vt:lpstr>'9.2'!Print_Area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2026-08-01T20:36:25Z</dcterms:created>
  <dcterms:modified xsi:type="dcterms:W3CDTF">2026-08-01T22:38:14Z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2026-08-01T22:38:14Z</vt:filetime>
  </property>
</Properties>
</file>